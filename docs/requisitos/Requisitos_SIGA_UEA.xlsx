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5"/>
    <sheet state="visible" name="Fluxos" sheetId="2" r:id="rId6"/>
    <sheet state="visible" name="Telas" sheetId="3" r:id="rId7"/>
    <sheet state="visible" name="RAN" sheetId="4" r:id="rId8"/>
    <sheet state="visible" name="RN" sheetId="5" r:id="rId9"/>
    <sheet state="visible" name="RNF" sheetId="6" r:id="rId10"/>
    <sheet state="visible" name="Rastreabilidade" sheetId="7" r:id="rId11"/>
    <sheet state="visible" name="Validaçäo" sheetId="8" r:id="rId12"/>
    <sheet state="visible" name="Histórico" sheetId="9" r:id="rId13"/>
    <sheet state="visible" name="Cronograma" sheetId="10" r:id="rId14"/>
    <sheet state="visible" name="Cronograma Detalhado" sheetId="11" r:id="rId15"/>
    <sheet state="visible" name="Estimativa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tc={0060d98e-30bf-4d1b-828d-9cc242dcae5b}</author>
    <author>tc={00bb9a6a-c78a-45d3-93c6-0c9baf8c7f2e}</author>
    <author>tc={26b49cd9-58f7-457c-bdc9-9826ad391670}</author>
    <author>tc={2c76834a-aa06-4b9d-87b1-67c39125eb53}</author>
    <author>tc={396fc91a-6e26-4eeb-8c67-d9e51cdfa47a}</author>
    <author>tc={3a2a9ce1-667d-44c2-9ebf-c365205a6216}</author>
    <author>tc={3d7b11f5-2546-4dab-b11e-54c0e4c2f88b}</author>
    <author>tc={3f9ea7ae-af57-4350-8e5b-14780daea93f}</author>
    <author>tc={45a78807-e119-442a-a3bd-cf23388e0978}</author>
    <author>tc={489d48ff-ce15-4f4c-b6e6-ec005dee9da2}</author>
    <author>tc={4a2bb26b-500f-4ac8-8719-4784bdf7290b}</author>
    <author>tc={4b973c81-f4b6-4722-bd1d-c14c5d17e6f1}</author>
    <author>tc={50e8bc29-8b86-4246-b57a-9b85e36709dd}</author>
    <author>tc={5e44b95a-90a1-479d-8df3-6c5b6b165dbf}</author>
    <author>tc={6460a94d-fa6c-45ef-a8e3-e99e806963f6}</author>
    <author>tc={6472c93b-dffc-4a75-9afe-45879f6d5b91}</author>
    <author>tc={69301f01-c9c3-4805-8bd7-0fa17d133038}</author>
    <author>tc={70d6f38c-e661-4476-8c3f-1e59e3cae519}</author>
    <author>tc={810e23df-6e46-487e-bf77-6b20b961b6cd}</author>
    <author>tc={8917dce1-6834-49a6-9991-f036e7390d42}</author>
    <author>tc={8c814408-bcf2-4529-9316-a2c4ebdc0f5f}</author>
    <author>tc={aab8a498-f88a-44d3-b836-f19b0ff191fb}</author>
    <author>tc={b9350ec6-b3b6-4fe1-9c7a-5f73dcb00286}</author>
    <author>tc={bacf01c2-7838-491a-aecd-d5029282f6d4}</author>
    <author>tc={c5424091-020a-4890-8ebc-9e91b3d19eef}</author>
    <author>tc={cd899f8d-9945-4dc0-ab81-c17ae288f0a8}</author>
    <author>tc={cda9af3f-00c5-4c28-80e1-0bbec3f25810}</author>
    <author>tc={dd9c8774-6470-4bf0-a6fe-ae1aa481cdc9}</author>
    <author>tc={e286ae7d-89de-429b-aea5-914471a9831a}</author>
    <author>tc={e71aff7a-9a2a-4f7b-b94b-92f21161ab14}</author>
    <author>tc={e7314b18-7dd0-4aa2-a945-722864474ac2}</author>
    <author>tc={eb565393-6efa-4f81-9658-916c71fa98b4}</author>
  </authors>
  <commentList>
    <comment authorId="0" ref="B66">
      <text>
        <t xml:space="preserve">Reorganização da Matriz:
Antes: RAN18. Numeração sequencial: RAN10 (requisitos RBN10.01 a RBN10.06). Bloco que constava como "MOD04 - Gestão da defesa (complemento v2.1)"; agora integra o MOD04, entre RAN09 e RAN11.</t>
      </text>
    </comment>
    <comment authorId="0" ref="B49">
      <text>
        <t xml:space="preserve">Reorganização da Matriz:
Antes: RAN10. Numeração sequencial: RAN09 (requisitos RBN09.01 a RBN09.24). Incorpora os requisitos do bloco RAN10 duplicado do complemento v2.1 (antes RBN10.20 a RBN10.24).</t>
      </text>
    </comment>
    <comment authorId="0" ref="B31">
      <text>
        <t xml:space="preserve">Reorganização da Matriz:
Antes: RAN08. Numeração sequencial: RAN05 (requisitos RBN05.01 a RBN05.05).</t>
      </text>
    </comment>
    <comment authorId="0" ref="B44">
      <text>
        <t xml:space="preserve">Reorganização da Matriz:
Antes: RAN17. Numeração sequencial: RAN08 (requisitos RBN08.01 a RBN08.06). Bloco que constava como "MOD03 - Gestão e acompanhamento dos TCCs (complemento v2.1)"; agora integra o MOD03.</t>
      </text>
    </comment>
    <comment authorId="0" ref="B75">
      <text>
        <t xml:space="preserve">Reorganização da Matriz:
Antes: RAN11. Numeração sequencial: RAN12 (requisitos RBN12.01 a RBN12.02).</t>
      </text>
    </comment>
    <comment authorId="0" ref="B26">
      <text>
        <t xml:space="preserve">Reorganização da Matriz:
Antes: RAN06. Numeração sequencial: RAN04 (requisitos RBN04.01 a RBN04.05).</t>
      </text>
    </comment>
    <comment authorId="0" ref="B39">
      <text>
        <t xml:space="preserve">Reorganização da Matriz:
Antes: RAN15. Numeração sequencial: RAN07 (requisitos RBN07.01 a RBN07.05).</t>
      </text>
    </comment>
    <comment authorId="0" ref="B71">
      <text>
        <t xml:space="preserve">Reorganização da Matriz:
Antes: RAN16. Numeração sequencial: RAN11 (requisitos RBN11.01 a RBN11.04).</t>
      </text>
    </comment>
    <comment authorId="0" ref="B85">
      <text>
        <t xml:space="preserve">Reorganização da Matriz:
Antes: RAN13. Numeração sequencial: RAN14 (requisitos RBN14.01 a RBN14.04).</t>
      </text>
    </comment>
    <comment authorId="0" ref="B36">
      <text>
        <t xml:space="preserve">Reorganização da Matriz:
Antes: RAN14. Numeração sequencial: RAN06 (requisitos RBN06.01 a RBN06.04).</t>
      </text>
    </comment>
    <comment authorId="0" ref="B19">
      <text>
        <t xml:space="preserve">Reorganização da Matriz:
Antes: RAN01. Numeração sequencial: RAN03 (requisitos RBN03.01 a RBN03.08).</t>
      </text>
    </comment>
    <comment authorId="1" xr:uid="{0060d98e-30bf-4d1b-828d-9cc242dcae5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 entendi direito do que se trata o cadastro incompativel. Eu submetr o mesmo artigo duas vezes ou submeter dois artifos diferentes na mesma materia? Como vai tratar se eu fiz tcc 1 um tcc ai no tcc2 eu poder colocar outro:? O sistema impede de qual forma? acho importante esse controle
Reply:
	Pensei nisso aqui: O sistema deve impedir que um aluno possua mais de um cadastro de TCC ativo no mesmo período letivo.
Reply:
	Mas fiquei na dúvida, a gente quer bloquear o cadastro de mais de um TCC no mesmo período mesmo que eles sejam diferentes ou quer bloquer só quando for o mesmo TCC/artigo?
Reply:
	acho q so pode um tcc ai qunaod or aprovado n pode mudar mais. ta ai uma boa pergunta, pq acho q pode mudar ne. Mas sera q se comeco no tcc1 ai posso mudar ate uma data no tcc1. mas como tcc2 e uma continuacao do tcc1 no tcc2 eu n posso mudar de vez?
Reply:
	Pois é, pensei isso, mas aí eu realmente não tenho a menor ideia, acho bom a gente perguntar dela ou de alguém na seegunda, o quanto antes
</t>
      </text>
    </comment>
    <comment authorId="2" xr:uid="{00bb9a6a-c78a-45d3-93c6-0c9baf8c7f2e}" ref="C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Separar: Manter somente manual como must, codigo fica como should/Could (a definifir). Esforco nao necessario no momento.
Reply:
	Após
Marcada como resolvida
Marcada como resolvida
Marcada como resolvida
</t>
      </text>
    </comment>
    <comment authorId="3" xr:uid="{26b49cd9-58f7-457c-bdc9-9826ad39167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Remove??
Reply:
	tem que primeiro ver pra onde vai
</t>
      </text>
    </comment>
    <comment authorId="4" xr:uid="{2c76834a-aa06-4b9d-87b1-67c39125eb53}" ref="E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Precisamos colocar auqi mesmo as areas de interesse (IA, ES e etc..)
</t>
      </text>
    </comment>
    <comment authorId="5" xr:uid="{396fc91a-6e26-4eeb-8c67-d9e51cdfa47a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 q precisa falar quais campos obrigaotrios aqui?
Reply:
	Reformulei um pouco aqui, o que acha
Reply:
	ja tem esses campos definidos em outra rnb? se tiver, bom referneciar quais sao esses campos, se n tiver tem que falar
Reply:
	Sabe me dizer se seria esses da RBN1.01 e 1.03?
Reply:
	Ent referencie
</t>
      </text>
    </comment>
    <comment authorId="6" xr:uid="{3a2a9ce1-667d-44c2-9ebf-c365205a62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Gente, qual perfil responsavel aqui? Coordenador? ou Orientador a aluno?
</t>
      </text>
    </comment>
    <comment authorId="7" xr:uid="{3d7b11f5-2546-4dab-b11e-54c0e4c2f88b}" ref="C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precisa defnir esses documentos sera?
Reply:
	Acho que seria o próprio docs do TCC, como na RBN08.04
Marcada como resolvida
Marcada como resolvida
</t>
      </text>
    </comment>
    <comment authorId="8" xr:uid="{3f9ea7ae-af57-4350-8e5b-14780daea93f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situacao editorial?
</t>
      </text>
    </comment>
    <comment authorId="9" xr:uid="{45a78807-e119-442a-a3bd-cf23388e0978}" ref="C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1- tem que criar uma rbn para quando um filtro não retornar registro?
2 - tem que criar uma RNF cobre o tempo de carregamento dos indicadores igual do tcc de 3s?
3 - onde entra a modalidade?
4 - tem que criar uma rbn falando que o dashboard pode ser exportado?
Reply:
	1 - Creio que não é necessário, isso aí é caminho infeliz, fluxo de exceção.
2 - Seria bom, aliás achei esses requisitos de toda planilha muito incompletos
3 -  Precisa ter!
4 - Sim, deve permitir exportar o dashboard e também gerar relatório, aliás seria interessante nós termos um template de como eles fazem esse relatório, vamos ver amanhã
</t>
      </text>
    </comment>
    <comment authorId="10" xr:uid="{489d48ff-ce15-4f4c-b6e6-ec005dee9da2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QUAL o perfil autorizado?
Reply:
	importante adicioanr nos proessores areas de interesse dlee tbm , ne
Marcada como resolvida
Marcada como resolvida
</t>
      </text>
    </comment>
    <comment authorId="11" xr:uid="{4a2bb26b-500f-4ac8-8719-4784bdf7290b}" ref="C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Após conclusão e aprovação de aluno de TCC2 é necessário que o usuário seja arquivado, então histórico de conversas e e etc., mas mantem o cadastro de tcc e etc.
</t>
      </text>
    </comment>
    <comment authorId="12" xr:uid="{4b973c81-f4b6-4722-bd1d-c14c5d17e6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resumo de quantas caracteres, quais sao as areas, o q seria linha de pesquisa?
Reply:
	pelo que achei aqui do TCC da UEA, são 500 palavras o resumo e 10 palavras chave, vou colocar isso
Reply:
	top
Marcada como resolvida
Marcada como resolvida
</t>
      </text>
    </comment>
    <comment authorId="13" xr:uid="{50e8bc29-8b86-4246-b57a-9b85e36709dd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sistema deve permitir login. Adicionar campos do login, como sao os campos a serem preenchidas (Nome ou CPF, Senha alfanumerica?). Como funciona recuperação de senha? Como fica a segurança do sistema? verificacao de duas etapas por email?
Reply:
	recuperação de senha RBN07.05, autenticação=login, tá aí os campos e-mail institucional e senha, a segurança é o RNF especificado na aba RNF
Marcada como resolvida
Marcada como resolvida
</t>
      </text>
    </comment>
    <comment authorId="14" xr:uid="{5e44b95a-90a1-479d-8df3-6c5b6b165dbf}" ref="B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oque é esses indicadores?
Reply:
	ainda tem que especificar aqui esses indicaodres ou mudar o termo
</t>
      </text>
    </comment>
    <comment authorId="15" xr:uid="{6460a94d-fa6c-45ef-a8e3-e99e806963f6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qual perfil autorizado?
Reply:
	Acredito que professor e coordenação não?
Marcada como resolvida
Marcada como resolvida
</t>
      </text>
    </comment>
    <comment authorId="16" xr:uid="{6472c93b-dffc-4a75-9afe-45879f6d5b91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usuario vai poder se cadastrar no sistema msm?
Reply:
	Isso foi uma das minhas dúvidas, alguém cadastra, ou definimos um usuário root pra isso?
Reply:
	Estava pensando em definir um seed user que vai cadastrar, sem senha daí é mandado um link pro e-mail do cara pra definir a senha
Reply:
	seria bom assim. mas temq  mudar esse req n pode esquecer
Reply:
	sera q pergunta?
Reply:
	Resolvido: RBN07.04 agora só trata da regra de senha; criei o RBN07.06 com o modelo de seed user (conta sem senha + link de ativação em 48h), exatamente como discutido aqui.
Marcada como resolvida
Marcada como resolvida
</t>
      </text>
    </comment>
    <comment authorId="17" xr:uid="{69301f01-c9c3-4805-8bd7-0fa17d133038}" ref="C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oque é esses indicadores?
Reply:
	Creio que seja percentuais e etc., mas isso deve ser bem claro, deve sem bem explícito quais são esses indicadores
</t>
      </text>
    </comment>
    <comment authorId="18" xr:uid="{70d6f38c-e661-4476-8c3f-1e59e3cae519}" ref="E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entendi, mas ta meio abstrato ainda. mllehor simplificar isso
Reply:
	Mudei a proposta aí, o que acha
</t>
      </text>
    </comment>
    <comment authorId="19" xr:uid="{810e23df-6e46-487e-bf77-6b20b961b6cd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sera q esses 48 horas sao necessaria pq se ele perder da maior burocracia pra pedir dnv
</t>
      </text>
    </comment>
    <comment authorId="20" xr:uid="{8917dce1-6834-49a6-9991-f036e7390d42}" ref="C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algum papel? suplente deixa?
Reply:
	bom, creio que são esses os papeis.
</t>
      </text>
    </comment>
    <comment authorId="21" xr:uid="{8c814408-bcf2-4529-9316-a2c4ebdc0f5f}" ref="C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qual documentoé esse?
Reply:
	Acho que é o proprio documento do TCC
Reply:
	tem q falar
Reply:
	Eu mudei aí, coloquei vers~oes do TCC
Marcada como resolvida
Marcada como resolvida
</t>
      </text>
    </comment>
    <comment authorId="22" xr:uid="{aab8a498-f88a-44d3-b836-f19b0ff191fb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Acho bom deixar claro proposta de q, monografia aritgo, tcc, ou n?
Reply:
	So tcc mesmo ne. pq monografia e se n for tcc
Reply:
	Acho que TCC mesmo, porque TCC pode ser monografia, artigo, entre outros que n se aplica no nosso caso
Marcada como resolvida
Marcada como resolvida
</t>
      </text>
    </comment>
    <comment authorId="23" xr:uid="{b9350ec6-b3b6-4fe1-9c7a-5f73dcb00286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Adicionar os respectivos atores principais
</t>
      </text>
    </comment>
    <comment authorId="24" xr:uid="{bacf01c2-7838-491a-aecd-d5029282f6d4}" ref="C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Adicionei RBN12.03 e RBN12.04, fazem sentido ne?
Reply:
	Aqui nessa cabe uma pergunta não temos um Requisito que permite a desistência e que define como vai ocorrer.
Reply:
	é bom mesmo.
</t>
      </text>
    </comment>
    <comment authorId="25" xr:uid="{c5424091-020a-4890-8ebc-9e91b3d19eef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Validem se temos que deixar maix claro que isso serrve pra tcc
Reply:
	Aqui devemos prestar mais atenção na questão de quem pode ver essas propostas e quais não podem. Quem vai poder ver isso só os professores?
Marcada como resolvida
Marcada como resolvida
</t>
      </text>
    </comment>
    <comment authorId="26" xr:uid="{cd899f8d-9945-4dc0-ab81-c17ae288f0a8}" ref="C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Aqui há um problema, onde está especificado a confirmação de participação do membro da banca?
</t>
      </text>
    </comment>
    <comment authorId="27" xr:uid="{cda9af3f-00c5-4c28-80e1-0bbec3f25810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essa matricula ai tem q tirar ou quebrar oq cada perfil pdoe editar???
Reply:
	Marcada como resolvida
Reply:
	Reaberta
Reply:
	Marcada como resolvida
Reply:
	Reaberta
Reply:
	Marcada como resolvida
Reply:
	Reaberta
</t>
      </text>
    </comment>
    <comment authorId="28" xr:uid="{dd9c8774-6470-4bf0-a6fe-ae1aa481cdc9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corrijam se errei alguma situacao editorial
Reply:
	Pesquisei aqui e alterei para (Submetido, Em avaliação, Aceito, Em revisão, Rejeitado ou Publicado)
Reply:
	perfeito
Marcada como resolvida
Marcada como resolvida
</t>
      </text>
    </comment>
    <comment authorId="29" xr:uid="{e286ae7d-89de-429b-aea5-914471a9831a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que faz uma pessoa recusar e outra devolver? sera q tem q deixar mais claro?
</t>
      </text>
    </comment>
    <comment authorId="30" xr:uid="{e71aff7a-9a2a-4f7b-b94b-92f21161ab1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matricula ativa? como o sistrma vai saber?
Reply:
	rnf?
Marcada como resolvida
Marcada como resolvida
</t>
      </text>
    </comment>
    <comment authorId="31" xr:uid="{e7314b18-7dd0-4aa2-a945-722864474ac2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Qual o perfil autorizado:?? Coordenador? n entendi
</t>
      </text>
    </comment>
    <comment authorId="32" xr:uid="{eb565393-6efa-4f81-9658-916c71fa98b4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Achei meio estranho essa parte de aluno atribui a si mesmo perfil de coordenação
Reply:
	tbm achei, melhor tirar
</t>
      </text>
    </comment>
  </commentList>
</comments>
</file>

<file path=xl/sharedStrings.xml><?xml version="1.0" encoding="utf-8"?>
<sst xmlns="http://schemas.openxmlformats.org/spreadsheetml/2006/main" count="1510" uniqueCount="970">
  <si>
    <t>Módulo</t>
  </si>
  <si>
    <t>Requisitos de alto nível</t>
  </si>
  <si>
    <t>Requisitos de baixo nível</t>
  </si>
  <si>
    <t>Ator(es) principal(is)</t>
  </si>
  <si>
    <t>Descrição e exemplo de comportamento</t>
  </si>
  <si>
    <t>MoSCoW</t>
  </si>
  <si>
    <t>Regras de negócio</t>
  </si>
  <si>
    <t>Requisitos não funcionais</t>
  </si>
  <si>
    <t>Telas</t>
  </si>
  <si>
    <t>RBN01.01 - O sistema deve permitir o cadastro de Docentes com nome completo, e-mail (obrigatório), cargo (Coordenador, Professor ou Orientador), telefone (opcional), curso, foto (opcional) e área de interesse (opcional).</t>
  </si>
  <si>
    <t>Coordenador(a)</t>
  </si>
  <si>
    <t>Registrar identificação e contato. O e-mail institucional é único. Uma mesma pessoa pode ter mais de um perfil (por exemplo, coordenador e professor da disciplina); quem cadastra define os perfis, sem autoatribuição. O primeiro coordenador é cadastrado pela equipe técnica na implantação do sistema (carga inicial); os demais são cadastrados por coordenadores.</t>
  </si>
  <si>
    <t>Must</t>
  </si>
  <si>
    <t>RN07 - Perfis e vínculos de acesso</t>
  </si>
  <si>
    <t>RNF02 - Segurança e privacidade
RNF03 - Auditabilidade
RNF04 - Responsividade</t>
  </si>
  <si>
    <t>TEL02 - Usuários e perfis</t>
  </si>
  <si>
    <t>RBN01.02 - O sistema deve permitir ao coordenador adicionar, editar ou excluir áreas de interesse no sistema.</t>
  </si>
  <si>
    <t>O sistema permite alterações referentes a áreas de interesse (IA, Engenharia de Software, Governança de TI, Ciência de Dados, Segurança da Informação, Sistemas de Informação) podendo adicionar, editar ou excluí-las.</t>
  </si>
  <si>
    <t>RBN01.03 - O sistema deve permitir ao coordenador realizar o cadastro manual dos alunos na turma com nome completo, matrícula, curso e e-mail institucional.</t>
  </si>
  <si>
    <t>O aluno define a própria senha pelo link de ativação enviado ao e-mail institucional.</t>
  </si>
  <si>
    <t>RNF02 - Segurança e privacidade
RNF03 - Auditabilidade</t>
  </si>
  <si>
    <t>RBN01.04 - O sistema deve exigir senha alfanumérica (mínimo de 8 caracteres, incluindo ao menos 1 letra maiúscula, 1 número e 1 caractere especial) sempre que o usuário definir ou redefinir sua senha — na ativação da conta ou na redefinição.</t>
  </si>
  <si>
    <t>Usuário (define a própria senha)</t>
  </si>
  <si>
    <t>Regra de complexidade única, reaproveitada em qualquer momento de definição de senha.</t>
  </si>
  <si>
    <t>RNF02 - Segurança e privacidade</t>
  </si>
  <si>
    <t>TEL01 - Acesso e sessão</t>
  </si>
  <si>
    <t>RBN01.05 - O sistema deve, ao cadastrar um usuário (RBN01.01 e RBN01.03), criar a conta sem senha e enviar um link de ativação ao e-mail informado, pelo qual a pessoa define sua própria senha (RBN01.04) em até 48 horas.</t>
  </si>
  <si>
    <t>Quem cadastra o usuário define o perfil: o coordenador cadastra docentes (RBN01.01) e alunos (RBN01.03). Coorientador externo e membro externo da banca recebem uma conta temporária criada ao serem vinculados ao TCC (RAN06) ou à banca (RAN09).</t>
  </si>
  <si>
    <t>RBN01.06 - O sistema deve permitir o login do usuário mediante e-mail institucional e senha cadastrados (RBN01.05).</t>
  </si>
  <si>
    <t>Usuário autenticado (qualquer perfil)</t>
  </si>
  <si>
    <t>Login exige e-mail institucional e a senha definida em RBN01.04; ambos os campos são obrigatórios e a senha é exibida mascarada. Credenciais inválidas não indicam qual campo está incorreto (evita revelar quais e-mails têm cadastro). Após 3 tentativas inválidas consecutivas, a conta é bloqueada por 15 minutos. Sessão expira após 60 minutos de inatividade; ao expirar ou após logout, abrir página restrita solicita nova autenticação.</t>
  </si>
  <si>
    <t>RNF02 - Segurança e privacidade
RNF04 - Responsividade</t>
  </si>
  <si>
    <t>RBN01.07 - O sistema deve permitir redefinição de senha mediante link de recuperação enviado ao e-mail cadastrado, exigindo os mesmos critérios de complexidade definidos em RBN01.04.</t>
  </si>
  <si>
    <t>Usuário (aciona a recuperação de senha)</t>
  </si>
  <si>
    <t>Aplicável a qualquer perfil. O link expira após prazo de 10 minutos e não pode ser reutilizado após a troca de senha.</t>
  </si>
  <si>
    <t>RBN01.08 - O sistema deve permitir o(a) coordenador(a) editar os dados cadastrais de um usuário (aluno, professor da disciplina, orientador ou membro de banca) e inativar seu cadastro quando necessário.</t>
  </si>
  <si>
    <t>Coordenador altera dados de contato/vínculo institucional do usuário; inativação bloqueia novo acesso e novas atribuições, mas não é exclusão definitiva.</t>
  </si>
  <si>
    <t>RNF02 - Segurança e privacidade / RNF03 - Auditabilidade</t>
  </si>
  <si>
    <t xml:space="preserve">RBN01.09 - O sistema deve permitir ao aluno editar os próprios dados de perfil, sendo eles: telefone e foto. </t>
  </si>
  <si>
    <t>Aluno</t>
  </si>
  <si>
    <t>Foto e telefone são opcionais. Nome completo, e-mail institucional, matrícula e curso vêm do cadastro feito pela coordenação e só podem ser alterados por ela (RBN01.08). Não há exclusão de conta pelo próprio usuário.</t>
  </si>
  <si>
    <t>Should</t>
  </si>
  <si>
    <t xml:space="preserve">RBN01.10 - O sistema deve permitir ao professor da disciplina, orientador, coordenador e membro da banca editar os próprios dados, sendo eles: telefone, foto e curso. Professor da disciplina e orientador também podem editar suas áreas de interesse (RN25). </t>
  </si>
  <si>
    <t>Professor da disciplina; Orientador(a); Coordenador(a); Membro da banca</t>
  </si>
  <si>
    <t>Nome completo e e-mail institucional só podem ser alterados pela Coordenador(a) (RBN01.08).</t>
  </si>
  <si>
    <t>RN07 - Perfis e vínculos de acesso / RN25 - Vínculo de professores a áreas de interesse</t>
  </si>
  <si>
    <t>RBN01.11 - O sistema deve revogar automaticamente o acesso do aluno 7 dias após a aprovação oficial em TCC2 (RBN11.04), impedindo novo login a partir dessa data (RN27).</t>
  </si>
  <si>
    <t>Sistema</t>
  </si>
  <si>
    <t>Prazo de 7 dias permite consultas finais antes da revogação. Simétrico ao provisionamento (RBN01.05); acionado pela conclusão acadêmica registrada em RBN11.04.</t>
  </si>
  <si>
    <t>RN27 - Prazo de encerramento de acesso do aluno</t>
  </si>
  <si>
    <t xml:space="preserve">RBN01.12 - O sistema deve, ao adicionar um membro externo à banca, permitir gerar uma conta de acesso limitada e vinculada apenas àquela defesa, permitindo login (e-mail informado + senha temporária) apenas para submeter nota, parecer e correções, sem acesso a outras funcionalidades ou defesas. </t>
  </si>
  <si>
    <t>Coordenador(a); Orientador(a)</t>
  </si>
  <si>
    <t xml:space="preserve">Evita manter contas de acesso ativas indefinidamente para pessoas fora da instituição. Senha temporária segue os mesmos critérios de complexidade do RBN01.04.
A conta expira automaticamente 7 dias após a confirmação do resultado da defesa.
</t>
  </si>
  <si>
    <t>RN12 - Composição da banca</t>
  </si>
  <si>
    <t>TEL10 - Banca examinadora</t>
  </si>
  <si>
    <t>RBN01.13 - O sistema deve, quando o coorientador vinculado (RBN06.02) for externo, permitir criar uma conta de acesso limitada ao TCC em questão, seguindo o mesmo modelo de provisionamento do RBN01.05 (conta sem senha, link de ativação por e-mail, validade de 48 horas), permitindo apenas visualizar o TCC ao qual foi vinculado, sem acesso a outras funcionalidades ou outros trabalhos.</t>
  </si>
  <si>
    <t xml:space="preserve">Mesmo padrão já aplicado ao membro externo da banca (RBN01.12). Coorientador interno (já cadastrado) apenas recebe o vínculo, sem nova conta.
</t>
  </si>
  <si>
    <t>TEL08 - Orientação do TCC</t>
  </si>
  <si>
    <t>RBN01.14 - O sistema deve permitir o login único com a conta institucional da UEA.</t>
  </si>
  <si>
    <t>Fora desta versão. Nesta versão o acesso é por e-mail institucional e senha (RBN01.06). Exemplo: o usuário entraria com a mesma conta que usa nos demais sistemas da UEA.</t>
  </si>
  <si>
    <t>Won't</t>
  </si>
  <si>
    <t>RBN02.01 - O sistema deve permitir a alunos cadastrarem propostas de TCC com título, descrição e área de interesse, e direcioná-la a professores específicos ou a uma área de interesse (ficando visível a todos os professores vinculados a essa área).</t>
  </si>
  <si>
    <t>Identificar autor e data. A proposta serve à discussão e não gera protocolo nem cadastro oficial de TCC. No cadastro da proposta, o aluno escolhe o destinatário — um ou mais professores nomeados, ou uma das áreas de interesse. Se for por área, a proposta fica visível a todos os professores cadastrados nela; se for por professor(es) específico(s), a visibilidade fica restrita a eles (e ao perfil moderador). É escolha manual do aluno — sem sugestão automática de professor.</t>
  </si>
  <si>
    <t>RN07 - Perfis e vínculos de acesso
RN25 - Vínculo de professores a áreas de interesse</t>
  </si>
  <si>
    <t>TEL03 - Ideias de TCC</t>
  </si>
  <si>
    <t>RBN02.02 - O sistema deve permitir que professores consultem e registrem comentários sobre propostas de TCC cadastradas por alunos.</t>
  </si>
  <si>
    <t>Professor da disciplina; Orientador(a)</t>
  </si>
  <si>
    <t>Mostrar autor, data e texto da proposta; permitir registrar comentário; comentário vazio não é aceito.</t>
  </si>
  <si>
    <t>RBN02.03 - O sistema deve permitir ao coordenador revisar propostas ou comentários denunciados por aluno ou professor, ocultá-los quando inadequados e registrar a justificativa.</t>
  </si>
  <si>
    <t>Moderação reativa, acionada por denúncia: o coordenador não varre todo o conteúdo, só entra no que foi reportado. Manter evidência da moderação conforme a política definida. Exibir que o conteúdo foi moderado, sem revelar dados restritos.</t>
  </si>
  <si>
    <t>RBN03.01 - O sistema deve apresentar um formulário de cadastro de TCC contendo título, subtítulo (opcional), resumo, palavras-chave, área de interesse, modalidade (artigo ou monografia), orientador e coorientador (opcional), encaminhando o cadastro para análise do Coordenador.</t>
  </si>
  <si>
    <t>O autor responsável é identificado pela sessão. Usar campos distintos para etapa e modalidade. Data e local da defesa vêm do agendamento, sem exigir uma defesa já marcada para cadastrar o trabalho.
O resumo deve conter limite de 500 palavras, e no máximo 10 palavras-chave</t>
  </si>
  <si>
    <t>RN01 - Cursos contemplados
RN02 - Tipos e modalidades de TCC
RN07 - Perfis e vínculos de acesso</t>
  </si>
  <si>
    <t>RNF01 - Desempenho do cadastro
RNF02 - Segurança e privacidade
RNF03 - Auditabilidade
RNF04 - Responsividade</t>
  </si>
  <si>
    <t>TEL05 - Cadastro de TCC</t>
  </si>
  <si>
    <t>RBN03.02 - O sistema deve apresentar um formulário que, quando a modalidade for artigo, apresente a situação editorial, tipo de veículo, nome do local de submissão/publicação e link DOI (obrigatório apenas se publicado).</t>
  </si>
  <si>
    <t>Situações editoriais: submetido, em revisão, recusado, aceito e publicado (RN03). Tipos de veículo: revista/periódico ou congresso. Os dados serão acompanhados em RAN12.
Em caso de artigo aprovado, deve ser permitido adicionar o DOI.</t>
  </si>
  <si>
    <t>RN02 - Tipos e modalidades de TCC
RN03 - Situações de publicação de artigo</t>
  </si>
  <si>
    <t>Se faltar informação, destacar o campo e preservar o que já foi preenchido. Após confirmação, registrar data/hora e situação em análise.O PDF do TCC não é exigido nesta etapa; é enviado depois, em Documentos e versões (RAN07). A submissão só é permitida se o orientador já tiver aceitado a orientação (status aceito).</t>
  </si>
  <si>
    <t>Se faltar informação, destacar o campo e preservar o que já foi preenchido. Após confirmação, registrar data/hora e situação em análise.O PDF do TCC não é exigido nesta etapa; é enviado depois, em Documentos e versões (RAN07).</t>
  </si>
  <si>
    <t>RN05 - Elegibilidade de matrícula
RN10 - Situações acadêmicas do cadastro
RN11 - Documentos e versões do TCC</t>
  </si>
  <si>
    <t>RBN03.04 - O sistema deve gerar um protocolo único ao aceitar a primeira submissão do cadastro do TCC.</t>
  </si>
  <si>
    <t>Rascunho não gera protocolo oficial. Repetição da mesma submissão deve retornar o protocolo já criado, sem gerar outro TCC.</t>
  </si>
  <si>
    <t>RN04 - Unicidade do cadastro por período
RN10 - Situações acadêmicas do cadastro</t>
  </si>
  <si>
    <t>RNF01 - Desempenho do cadastro
RNF03 - Auditabilidade
RNF06 - Integridade dos registros e arquivos</t>
  </si>
  <si>
    <t>RBN03.05 - O sistema deve permitir ao aluno corrigir um cadastro devolvido e reenviá-lo para análise.</t>
  </si>
  <si>
    <t>Preservar protocolo e parecer anterior. Ao alterar os dados de identificação de um TCC que já possui protocolo ou parecer, o sistema deve manter o protocolo e o parecer já registrados.</t>
  </si>
  <si>
    <t>RN07 - Perfis e vínculos de acesso
RN10 - Situações acadêmicas do cadastro</t>
  </si>
  <si>
    <t>RBN03.06 - O sistema deve enviar e-mail ao orientador quando um novo vínculo de orientação for registrado.</t>
  </si>
  <si>
    <t>O e-mail identifica o TCC e oferece acesso autenticado. Falha de envio registra pendência e permite nova tentativa, sem apagar o vínculo nem duplicar o trabalho.</t>
  </si>
  <si>
    <t>RN07 - Perfis e vínculos de acesso
RN16 - Vínculos de orientação</t>
  </si>
  <si>
    <t>RBN03.07 - O sistema deve importar automaticamente a lista de alunos matriculados do sistema acadêmico da UEA.</t>
  </si>
  <si>
    <t>Fora desta versão. Nesta versão o coordenador cadastra os alunos manualmente (RBN01.03). Exemplo: no início do período, a lista da turma chegaria pronta, sem digitação.</t>
  </si>
  <si>
    <t>RN05 - Elegibilidade de matrícula</t>
  </si>
  <si>
    <t>RBN04.01 - O sistema deve listar as solicitações de cadastro de TCC com filtros por curso, período e situação (em análise, aprovado, devolvido para correção ou reprovado).</t>
  </si>
  <si>
    <t>Exibir protocolo, aluno, título e data de submissão. Uma decisão já registrada deve aparecer atualizada para o coordenador antes de nova decisão.</t>
  </si>
  <si>
    <t>RN06 - Responsabilidade pela aprovação
RN07 - Perfis e vínculos de acesso
RN10 - Situações acadêmicas do cadastro</t>
  </si>
  <si>
    <t>TEL07 - Análise de cadastros</t>
  </si>
  <si>
    <t>RBN04.02 - O sistema deve permitir ao Coordenador(a) aprovar uma solicitação de cadastro de TCC em análise e registrar a data e o parecer.</t>
  </si>
  <si>
    <t>Aprovação acadêmica do cadastro não altera a situação editorial do artigo nem registra aprovação na defesa.</t>
  </si>
  <si>
    <t>RN06 - Responsabilidade pela aprovação
RN10 - Situações acadêmicas do cadastro</t>
  </si>
  <si>
    <t>RBN04.03 - O sistema deve permitir ao Coordenador(a) responder aos cadastros de TCC enviados informando as correções que devem ser feitas.</t>
  </si>
  <si>
    <t>Exigir justificativa de erros presentes no cadastro apontados após a correção, permitindo reenvio do mesmo cadastro.</t>
  </si>
  <si>
    <t>RBN04.04 - O sistema deve permitir ao Coordenador(a) reprovar a solicitação de cadastro de TCC com justificativa obrigatória.</t>
  </si>
  <si>
    <t>Reprovação encerra a análise corrente sem excluir o histórico, mantendo o mesmo protocolo do cadastro de TCC (RBN03.04) para casos de reenvio de solicitação.</t>
  </si>
  <si>
    <t>RBN04.05 - O sistema deve disponibilizar ao aluno e ao orientador o resultado da análise e a justificativa correspondente</t>
  </si>
  <si>
    <t>Após cada decisão da coordenação (aprovação, devolução ou reprovação, RBN04.02 a RBN04.04), o aluno e o orientador passam a ver o resultado da análise. Na devolução e na reprovação, exibir a justificativa obrigatória; na aprovação, exibir o parecer registrado.</t>
  </si>
  <si>
    <t>RBN05.01 - O sistema deve listar os TCCs acessíveis ao usuário com aluno, curso, orientador, etapa, modalidade e situação acadêmica.</t>
  </si>
  <si>
    <t>Aluno; Orientador(a); Coordenador(a)</t>
  </si>
  <si>
    <t>Aluno vê seus trabalhos; orientador vê suas orientações; Coordenador(a) vê o conjunto autorizado. Exibir situação editorial em campo separado quando houver artigo.</t>
  </si>
  <si>
    <t>RN01 - Cursos contemplados
RN02 - Tipos e modalidades de TCC
RN07 - Perfis e vínculos de acesso
RN10 - Situações acadêmicas do cadastro</t>
  </si>
  <si>
    <t>TEL04 - Meus TCCs</t>
  </si>
  <si>
    <t>RBN05.02 - O sistema deve permitir ao orientador atualizar a situação editorial do artigo e registrar histórico.</t>
  </si>
  <si>
    <t>Orientador(a); Aluno</t>
  </si>
  <si>
    <t>Registrar autor, data/hora e situação nova (submetido, em revisão, aceito, recusado ou publicado), conforme a RN03.</t>
  </si>
  <si>
    <t>RN07 - Perfis e vínculos de acesso
RN03 - Situações de publicação de artigo
RN17 - Correções e encerramento</t>
  </si>
  <si>
    <t>TEL06 - Detalhes e acompanhamento do TCC</t>
  </si>
  <si>
    <t>RBN05.03 - O sistema deve permitir aos perfis autorizados (professor da disciplina, orientador e Coordenador(a)) buscar o TCC por título, aluno ou protocolo e filtrar por curso, período, orientador e situação.</t>
  </si>
  <si>
    <t>Professor da disciplina; Orientador(a); Coordenador(a)</t>
  </si>
  <si>
    <t>Filtros se aplicam somente ao conjunto que o usuário pode consultar. Mostrar mensagem clara quando não houver resultados e permitir limpar filtros.</t>
  </si>
  <si>
    <t>RN01 - Cursos contemplados
RN07 - Perfis e vínculos de acesso</t>
  </si>
  <si>
    <t>RBN05.04 - O sistema deve apresentar, em ordem cronológica, as submissões, pareceres, vínculos, versões do TCC e mudanças de situação editorial do artigo (submetido, em revisão, aceito, recusado ou publicado).</t>
  </si>
  <si>
    <t>O histórico mostra quem realizou cada ação e quando, respeitando permissões.</t>
  </si>
  <si>
    <t>RN02 - Tipos e modalidades de TCC
RN07 - Perfis e vínculos de acesso
RN10 - Situações acadêmicas do cadastro</t>
  </si>
  <si>
    <t>RBN05.05 - O sistema deve permitir ao professor da disciplina ou ao orientador cadastrar tarefas/entregáveis para o TCC, com descrição e prazo, aplicável tanto em TCC1 quanto em TCC2.</t>
  </si>
  <si>
    <t>Tarefa é vinculada ao TCC específico, não à turma inteira. Os dois perfis podem cadastrar, independente de quem conduz a etapa. Só é possível cadastrar tarefa para TCC aprovado. A tarefa registra quem a cadastrou, a data de entrega pelo aluno e o status (pendente, entregue ou atrasada)</t>
  </si>
  <si>
    <t>RNF02 - Segurança e privacidade / RNF03 - Auditabilidade / RNF04 - Responsividade</t>
  </si>
  <si>
    <t>RBN06.01 - O sistema deve permitir selecionar um orientador identificado e elegível para o TCC.</t>
  </si>
  <si>
    <t>Reutilizar o cadastro do usuário e registrar data do vínculo.</t>
  </si>
  <si>
    <t>RBN06.02 - O sistema deve permitir informar coorientador caso exista.</t>
  </si>
  <si>
    <t>Campo opcional não deve impedir cadastro sem coorientação. Identificar pessoa e instituição quando externa; impedir duplicidade indevida com o orientador principal. Conta de acesso do coorientador externo: ver RBN01.13.</t>
  </si>
  <si>
    <t>RBN06.03 - O sistema deve permitir ao orientador aceitar ou recusar a solicitação de orientação.</t>
  </si>
  <si>
    <t>Orientador(a)</t>
  </si>
  <si>
    <t>Em caso de recusa, o sistema notifica o aluno e o TCC não pode ser submetido à coordenação enquanto não houver orientador que aceitou.</t>
  </si>
  <si>
    <t>RBN07.01 - O sistema deve permitir enviar cada versão do documento do TCC na extensão .PDF e identificar sua versão como preliminar, versão para banca ou versão final.</t>
  </si>
  <si>
    <t>Vincular o arquivo ao TCC e mostrar nome, tamanho, autor e data. A versão para banca deve ser explicitamente selecionada para evitar acesso a rascunho incorreto.</t>
  </si>
  <si>
    <t>RN07 - Perfis e vínculos de acesso
RN11 - Documentos e versões do TCC</t>
  </si>
  <si>
    <t>RNF02 - Segurança e privacidade
RNF03 - Auditabilidade
RNF06 - Integridade dos registros e arquivos</t>
  </si>
  <si>
    <t>TEL09 - Documentos e versões</t>
  </si>
  <si>
    <t>RBN07.02 - O sistema deve rejeitar o documento que não seja da extensão .PDF ou esteja vazio.</t>
  </si>
  <si>
    <t>Validar o conteúdo recebido, não apenas a extensão. Exemplo: executável renomeado para .pdf é recusado.</t>
  </si>
  <si>
    <t>RN11 - Documentos e versões do TCC</t>
  </si>
  <si>
    <t>RNF02 - Segurança e privacidade
RNF06 - Integridade dos registros e arquivos</t>
  </si>
  <si>
    <t>RBN07.03 - O sistema deve registrar cada novo envio de documento como uma nova versão, com autor, data e finalidade.</t>
  </si>
  <si>
    <t>Manter a versão anterior como histórico. Falha no envio não deve substituir a versão válida; somente envio concluído aparece como disponível.</t>
  </si>
  <si>
    <t>RBN07.04 - O sistema deve permitir consultar ou baixar as diferentes versões de TCC conforme o vínculo e a finalidade de cada versão.</t>
  </si>
  <si>
    <t>Aluno; Orientador(a); Membro da banca</t>
  </si>
  <si>
    <t>Aluno e orientador acessam todas as versões disponíveis; banca acessa a versão destinada à defesa.</t>
  </si>
  <si>
    <t>RN07 - Perfis e vínculos de acesso
RN08 - Autorização e limites da divulgação
RN11 - Documentos e versões do TCC</t>
  </si>
  <si>
    <t>RBN07.05 - O sistema deve verificar plágio no PDF enviado e mostrar o percentual de similaridade ao orientador.</t>
  </si>
  <si>
    <t>Fora desta versão. A verificação de plágio continua sendo feita fora do sistema. Exemplo: o orientador veria "similaridade: 12%" ao lado da versão enviada.</t>
  </si>
  <si>
    <t>RBN08.01 - O sistema deve permitir cadastrar turmas com código da turma, disciplina (TCC1/TCC2), curso, período letivo vigente (formato AAAA/N, ex.: 2022/1), professor da disciplina.</t>
  </si>
  <si>
    <t>A turma reúne alunos de um mesmo período letivo, curso e professor responsável. No TCC2 a turma é do orientador (RN26).</t>
  </si>
  <si>
    <t>RN07 - Perfis e vínculos de acesso / RN24 - Turmas e vínculo do professor responsável / RN26 - Composição das turmas de TCC</t>
  </si>
  <si>
    <t>RBN08.02 - O sistema deve permitir a inclusão manual dos alunos na turma exclusivamente pelo coordenador, preservando o curso do aluno mesmo quando diferente do curso da turma.</t>
  </si>
  <si>
    <t>Exemplo: aluno de curso diferente do da turma é incluído sem bloqueio.</t>
  </si>
  <si>
    <t>RN07 - Perfis e vínculos de acesso / RN24 - Turmas e vínculo do professor responsável</t>
  </si>
  <si>
    <t>RBN08.03 - O sistema deve permitir ao coordenador gerenciar os alunos cadastrados, podendo adicionar, editar dados e atualizar o status de matrícula entre: Matriculado, Desistente, Aprovado (nota final igual ou maior que 6,0) ou Reprovado.</t>
  </si>
  <si>
    <t>Substitui exclusão por mudança de status; Desistente e Reprovado preservam o histórico do aluno na turma.</t>
  </si>
  <si>
    <t>RN24 - Turmas e vínculo do professor responsável</t>
  </si>
  <si>
    <t>RBN08.04 - O sistema deve, ao vincular o aluno à turma de TCC2, pré-preencher o novo cadastro de TCC com os dados do TCC1 correspondente (título, área de interesse, orientador), permitindo edição livre de todos os campos, incluindo o título.</t>
  </si>
  <si>
    <t>O tema pode continuar o mesmo, mas o título não precisa ser igual. Exemplo: no TCC1 a descrição tinha 3 linhas; no TCC2 o aluno detalha a metodologia e os resultados esperados. O orientador não muda aqui: a troca de orientador segue o fluxo do RAN06.</t>
  </si>
  <si>
    <t>RN26 - Composição das turmas de TCC</t>
  </si>
  <si>
    <t>RBN08.05 - O sistema deve permitir ao professor responsável pela turma encerrar a turma no fim do período letivo, depois das defesas e das entregas finais.</t>
  </si>
  <si>
    <t>Professor responsável pela turma</t>
  </si>
  <si>
    <t>O sistema só deixa encerrar se nenhum aluno estiver como "Matriculado": todos devem estar como Aprovado, Reprovado ou Desistente (RBN08.03). Se faltar algum, mostra quais alunos faltam. Turma encerrada não aceita novos alunos nem mudança de status. Exemplo: a turma de TCC1 2026/2 tem 10 alunos (8 aprovados, 1 reprovado, 1 desistente); o professor encerra a turma.</t>
  </si>
  <si>
    <t>TEL14 - Correções e encerramento</t>
  </si>
  <si>
    <t>RBN09.01 - O sistema deve permitir agendar a defesa de um TCC e definir a banca: 2 avaliadores (internos ou externos), o orientador (obrigatório), o coorientador (opcional) e um suplente (opcional).</t>
  </si>
  <si>
    <t>Orientador(a) ou professor da disciplina, conforme o curso (RN14)</t>
  </si>
  <si>
    <t>Professores já cadastrados são reaproveitados. O coorientador deve ser o mesmo vinculado ao TCC. A banca vale só para aquela defesa e pode ser alterada depois, se houver imprevisto. Quem agenda segue a RN14; o número de membros segue a RN12.</t>
  </si>
  <si>
    <t>RN07 - Perfis e vínculos de acesso / RN12 - Composição da banca / RN14 - Agendamento da defesa</t>
  </si>
  <si>
    <t>RBN09.02 - O sistema deve impedir membro repetido na mesma banca e validar composição mínima e papéis exigidos.</t>
  </si>
  <si>
    <t>A comparação é pela pessoa cadastrada, não pelo nome digitado. Orientador, coorientador e suplente não contam como avaliadores (RN12). Exemplo: o mesmo professor não pode ser avaliador 1 e avaliador 2.</t>
  </si>
  <si>
    <t>RBN09.03 - O sistema deve permitir ao orientador ou professor da disciplina registrar, no mesmo agendamento, data/hora, formato (presencial/remoto/híbrido) e o local ou link de acesso (ex.: Google Meet) da defesa.</t>
  </si>
  <si>
    <t>Herdar título e autores do TCC. Exigir local para presencial, link para remota e ambos para híbrida; o horário final deve ser posterior ao inicial.</t>
  </si>
  <si>
    <t>RN09 - Condições para publicar apresentação
RN14 - Agendamento da defesa / RN22 - Duração da defesa por etapa</t>
  </si>
  <si>
    <t>TEL11 - Agendamento da defesa</t>
  </si>
  <si>
    <t>RBN09.04 - O sistema deve verificar sobreposição com outras defesas registradas para o mesmo participante ou local antes de confirmar o agendamento.</t>
  </si>
  <si>
    <t>Comparar intervalos completos. Exemplo: banca das 14h às 15h conflita com outra das 14h30 às 15h30 para o mesmo membro. Compromissos externos ao sistema não são automaticamente conhecidos.</t>
  </si>
  <si>
    <t>RN12 - Composição da banca
RN14 - Agendamento da defesa</t>
  </si>
  <si>
    <t>RBN09.05 - O sistema deve enviar e-mail de convite aos membros da banca com o título do TCC, a data, o horário e o local ou link.</t>
  </si>
  <si>
    <t>O sistema registra a data do envio do convite</t>
  </si>
  <si>
    <t>RN07 - Perfis e vínculos de acesso
RN12 - Composição da banca</t>
  </si>
  <si>
    <t>RBN09.06 - O sistema deve enviar lembretes aos participantes de uma defesa confirmada com um dia de antecedência.</t>
  </si>
  <si>
    <t>Se houver cancelamento antes do envio, não enviar lembrete de realização.</t>
  </si>
  <si>
    <t>RN14 - Agendamento da defesa</t>
  </si>
  <si>
    <t>RBN09.07 - O sistema deve permitir ao responsável pelo agendamento (RN14) ou ao coordenador remarcar uma defesa, informando o motivo, e avisar os participantes.</t>
  </si>
  <si>
    <t>Orientador(a) ou professor da disciplina, conforme o curso (RN14); Coordenador(a)</t>
  </si>
  <si>
    <t>Refazer validação de horário; preservar dados anteriores no histórico. Uma agenda já publicada deve refletir a remarcação usando o mesmo registro de defesa.</t>
  </si>
  <si>
    <t>RN07 - Perfis e vínculos de acesso
RN09 - Condições para publicar apresentação
RN14 - Agendamento da defesa</t>
  </si>
  <si>
    <t>RBN09.08 - O sistema deve permitir ao responsável pelo agendamento (RN14) ou ao coordenador cancelar uma defesa mediante justificativa e comunicar os participantes.</t>
  </si>
  <si>
    <t>Manter registro histórico, impedir lançamento normal de resultado e atualizar a divulgação. Cancelar a defesa não deve excluir o TCC.</t>
  </si>
  <si>
    <t>RBN09.09 - O sistema deve permitir ao coordenador ou orientador chamar o suplente no lugar de um avaliador titular que faltou ou não pode participar, informando o motivo e a data.</t>
  </si>
  <si>
    <t>O suplente só avalia depois de chamado (RN20). O registro fica auditado e ligado à banca daquela defesa.</t>
  </si>
  <si>
    <t>RN12 - Composição da banca / RN20 - Suplência da banca</t>
  </si>
  <si>
    <t>RBN09.10 - O sistema deve permitir ao coordenador ou orientador registrar as ocorrências da defesa e a lista de ouvintes presentes (nome e matrícula).</t>
  </si>
  <si>
    <t>A lista serve para emitir a declaração de horas complementares aos ouvintes. Ocorrência é texto livre, com autor e data.</t>
  </si>
  <si>
    <t>RN23 - Ocorrências e frequência de ouvintes</t>
  </si>
  <si>
    <t>TEL19 - Ocorrências e frequência</t>
  </si>
  <si>
    <t>RBN09.11 - O sistema deve calcular a nota final da defesa pela média das notas dos dois avaliadores e do orientador, e aplicar a regra do artigo aceito ou publicado em Qualis A ou B.</t>
  </si>
  <si>
    <t>Regra do artigo Qualis A ou B: a nota final é o maior valor entre 6,0 e a média das notas (RN21). Exemplo: avaliadores com 5,0 e 5,4 e orientador com 5,2 dão média 5,2, que vira 6,0 se o artigo for Qualis A ou B.</t>
  </si>
  <si>
    <t>RN13 - Avaliação e resultado / RN21 - Nota final e regra de exceção editorial</t>
  </si>
  <si>
    <t>TEL12 - Avaliações e resultado</t>
  </si>
  <si>
    <t>RBN09.12 - O sistema deve mostrar ao orientador as avaliações e a nota final, e permitir que ele confirme a nota, o parecer e o resultado: aprovado, aprovado com correções ou reprovado.</t>
  </si>
  <si>
    <t>Resultados possíveis: aprovado, aprovado com correções e reprovado. Antes de confirmar, o sistema mostra as notas, a média e o parecer e pede a confirmação do orientador.</t>
  </si>
  <si>
    <t>RN07 - Perfis e vínculos de acesso
RN13 - Avaliação e resultado
RN17 - Correções e encerramento</t>
  </si>
  <si>
    <t>RBN09.13 - O sistema deve permitir ao aluno, ao orientador e ao coordenador consultar o resultado confirmado e as correções exigidas.</t>
  </si>
  <si>
    <t>A consulta acadêmica exibe parecer e prazo aplicável. Notas e pareceres não devem ser publicados automaticamente na agenda de apresentações.</t>
  </si>
  <si>
    <t>RN07 - Perfis e vínculos de acesso
RN08 - Autorização e limites da divulgação
RN13 - Avaliação e resultado
RN17 - Correções e encerramento</t>
  </si>
  <si>
    <t>RBN09.14 - O sistema deve gerar a ata da defesa em PDF, no modelo institucional, depois que o resultado for confirmado.</t>
  </si>
  <si>
    <t>A ata traz o TCC, os autores, a banca, a data, o local, as notas ou o resultado, o parecer e as correções exigidas. O sistema não emite a ata se faltar dado obrigatório.</t>
  </si>
  <si>
    <t>RN13 - Avaliação e resultado
RN15 - Documentos oficiais e retificações</t>
  </si>
  <si>
    <t>RNF02 - Segurança e privacidade
RNF03 - Auditabilidade
RNF05 - Desempenho da geração de ata
RNF06 - Integridade dos registros e arquivos</t>
  </si>
  <si>
    <t>TEL13 - Documentos da defesa</t>
  </si>
  <si>
    <t>RBN09.15 - O sistema deve gerar a Folha de Aprovação como documento distinto da ata, exclusivo para TCC2 e para a modalidade artigo.</t>
  </si>
  <si>
    <t>A folha só deve ser liberada ao aluno após o registro da anuência do aluno às correções exigidas pela banca.</t>
  </si>
  <si>
    <t>RN13 - Avaliação e resultado / RN15 - Documentos oficiais e retificações / RN17 - Correções e encerramento</t>
  </si>
  <si>
    <t>RNF02 - Segurança e privacidade / RNF03 - Auditabilidade / RNF06 - Integridade dos registros e arquivos</t>
  </si>
  <si>
    <t>RBN09.16 - O sistema deve permitir ao aluno, ao orientador e aos avaliadores consultar e baixar a ata vigente e ver as versões substituídas.</t>
  </si>
  <si>
    <t>Acesso depende do vínculo e do perfil. Exemplo: uma retificação produz versão 2; a versão 1 permanece identificada no histórico e não aparece como vigente.</t>
  </si>
  <si>
    <t>RN07 - Perfis e vínculos de acesso
RN15 - Documentos oficiais e retificações</t>
  </si>
  <si>
    <t>RBN09.17 - O sistema deve emitir certificados de participação e enviá-los por e-mail aos membros da banca que estiveram presentes</t>
  </si>
  <si>
    <t>Usar modelo institucional e dados da defesa realizada. Defesa cancelada ou membro ausente não deve produzir certificado de participação automaticamente.</t>
  </si>
  <si>
    <t>RN12 - Composição da banca
RN15 - Documentos oficiais e retificações</t>
  </si>
  <si>
    <t>RBN10.01 - O sistema deve ter um instrumento de avaliação com dois componentes, parte escrita (7,0 pontos) e parte oral (3,0 pontos), divididos em critérios com peso, e com três conceitos por critério: Exemplar (8,0 a 10,0), Competente (6,0 a 7,9) e Necessita de Trabalho (0,0 a 5,9).</t>
  </si>
  <si>
    <t>Exemplo: parte escrita (7,0 pontos, com critérios como relevância do tema, metodologia, revisão da literatura, resultados, conclusões e redação) e parte oral (3,0 pontos, com organização, domínio do assunto e postura perante a banca), cada critério com peso próprio e faixas exemplar/competente/necessita de trabalho.</t>
  </si>
  <si>
    <t>RN13 - Avaliação e resultado / RN19 - Instrumento de avaliação ponderado</t>
  </si>
  <si>
    <t>TEL20 - Instrumento de avaliação</t>
  </si>
  <si>
    <t>RBN10.02 - O sistema deve permitir que cada avaliador (orientador e membros da banca) registre a própria avaliação, critério por critério.</t>
  </si>
  <si>
    <t>Membro da banca; Orientador(a)</t>
  </si>
  <si>
    <t>A avaliação é preenchida por avaliador (orientador e dois avaliadores). Cada avaliador vê e edita só o seu lançamento, enquanto ele estiver aberto.</t>
  </si>
  <si>
    <t>RBN10.03 - O sistema deve mostrar, para cada critério, o texto descritivo dos três conceitos e permitir ao avaliador escolher um só. Depois da escolha, o sistema mostra o campo de nota, aceitando só valores da faixa do conceito escolhido.</t>
  </si>
  <si>
    <t>O campo de nota só aparece depois que o avaliador escolhe o conceito, para que a nota fique sempre dentro da faixa. O avaliador vê o texto dos três conceitos antes de escolher. Os conceitos são: Exemplar 8,0–10,0; Competente 6,0–7,9; Necessita de Trabalho 0,0–5,9.</t>
  </si>
  <si>
    <t>RN19 - Instrumento de avaliação ponderado</t>
  </si>
  <si>
    <t>RBN10.04 - O sistema deve calcular a nota ponderada de cada critério como (nota digitada × peso do critério) ÷ 10, exibida com 2 casas decimais, e apresentar a soma de todos os critérios como nota total do avaliador, exibida com 1 casa decimal, antes da confirmação.</t>
  </si>
  <si>
    <t>A nota ponderada de cada critério aparece com 2 casas decimais (0,00). A nota total do avaliador, que é a soma dos critérios, aparece com 1 casa decimal (0,0).</t>
  </si>
  <si>
    <t>RBN10.05 - O sistema deve impedir os membros da banca de enviarem a avaliação com critério sem conceito e nota, e impedir o orientador de confirmar o resultado (RBN09.12) enquanto algum avaliador não tiver enviado a dele.</t>
  </si>
  <si>
    <t>A consolidação só é liberada quando todos os critérios do instrumento estiverem preenchidos pelos avaliadores esperados.
O sistema mostra quais critérios ou avaliadores estão faltando.</t>
  </si>
  <si>
    <t>RBN11.01 - O sistema deve criar, quando o resultado da defesa for "aprovado com correções", a lista de correções do aluno com as exigências dos avaliadores e definir o prazo de entrega da versão final.</t>
  </si>
  <si>
    <t>Cada correção tem descrição, avaliador e situação (pendente, atendida, aprovada ou devolvida). Exemplo: o avaliador A pediu "revisar as referências" e o avaliador B pediu "detalhar a metodologia"; o aluno vê 2 correções pendentes, com prazo até 22/12/2026. O prazo é a data limite da versão final do calendário do período. O professor responsável pela turma pode mudar o prazo e deve informar o motivo.</t>
  </si>
  <si>
    <t>RN13 - Avaliação e resultado
RN17 - Correções e encerramento
RN24 - Turmas e vínculo do professor responsável</t>
  </si>
  <si>
    <t>RBN11.02 - O sistema deve permitir ao aluno enviar a versão final corrigida em PDF e marcar quais correções da lista (RBN11.01) ele atendeu.</t>
  </si>
  <si>
    <t>A versão avaliada pela banca fica guardada. Se o envio for depois do prazo, o sistema registra "entregue com atraso" e a data. O professor responsável pela turma decide se aceita.</t>
  </si>
  <si>
    <t>RN07 - Perfis e vínculos de acesso
RN11 - Documentos e versões do TCC
RN17 - Correções e encerramento</t>
  </si>
  <si>
    <t>RBN11.03 - O sistema deve permitir ao professor responsável pela turma aprovar ou devolver, com justificativa, cada correção marcada como atendida pelo aluno.</t>
  </si>
  <si>
    <t>No TCC2 o professor responsável é o orientador. Em SI é o professor da disciplina. O sistema registra quem decidiu e quando. Se devolver, o aluno é avisado e envia a versão de novo. Quando todas as correções estiverem aprovadas, o TCC pode ser concluído.</t>
  </si>
  <si>
    <t>RN07 - Perfis e vínculos de acesso / RN17 - Correções e encerramento / RN24 - Turmas e vínculo do professor responsável / RN26 - Composição das turmas de TCC</t>
  </si>
  <si>
    <t>RBN11.04 - O sistema deve concluir o TCC automaticamente quando o resultado estiver confirmado, todas as correções estiverem aprovadas e a versão final estiver enviada, registrando a data de conclusão.</t>
  </si>
  <si>
    <t>Se faltar algo, o sistema mostra o que falta. Encerrar a turma é outro passo, feito pelo professor responsável pela turma (RBN08.05). Concluir o TCC não muda um artigo "submetido" para "publicado".</t>
  </si>
  <si>
    <t>RN10 - Situações acadêmicas do cadastro
RN13 - Avaliação e resultado
RN15 - Documentos oficiais e retificações
RN17 - Correções e encerramento</t>
  </si>
  <si>
    <t>RBN12.01 - O sistema deve permitir registrar situação editorial, veículo de submissão/publicação e data da alteração da situação do artigo.</t>
  </si>
  <si>
    <t>Aluno; Orientador(a)</t>
  </si>
  <si>
    <t xml:space="preserve">Reutilizar os dados informados no cadastro. Aceite do artigo não aprova automaticamente o cadastro ou a defesa. DOI/link pode ser registrado quando existir. </t>
  </si>
  <si>
    <t>RN03 - Situações de publicação de artigo
RN07 - Perfis e vínculos de acesso</t>
  </si>
  <si>
    <t>TEL15 - Publicações</t>
  </si>
  <si>
    <t>RBN12.02 - O sistema deve apresentar a sequência de alterações da publicação com situação, data, responsável e veículo informado.</t>
  </si>
  <si>
    <t>Exemplo: submetido, em revisão, aceito, recusado e publicado. Uma nova submissão a outro veículo não apaga a anterior.</t>
  </si>
  <si>
    <t>RBN12.03 - O sistema deve enviar uma notificação automática por e-mail para o orientador e para o aluno sempre que houver uma alteração na situação editorial do trabalho.</t>
  </si>
  <si>
    <t>O e-mail automático deve ser disparado no momento em que a situação (RBN12.01) for atualizada. A mensagem deve conter o título do trabalho, o veículo informado, a nova situação editorial (ex: "O seu artigo passou para: Aceito") e a data da alteração. Deve incluir um link direto para o histórico de publicação no sistema.</t>
  </si>
  <si>
    <t>RN03 - Situações de publicação de artigo</t>
  </si>
  <si>
    <t>RBN12.04 - O sistema deve consultar o DOI do artigo em uma base externa e atualizar a situação editorial automaticamente.</t>
  </si>
  <si>
    <t>Fora desta versão. Nesta versão o aluno ou o orientador atualiza a situação manualmente (RBN12.01). Exemplo: ao encontrar o DOI, o sistema mudaria a situação de "aceito" para "publicado".</t>
  </si>
  <si>
    <t>RBN13.01 - O sistema deve limitar os indicadores ao escopo de cada perfil, conforme a RN18: a coordenação vê todos os cursos, o professor da disciplina vê as turmas sob sua responsabilidade e o orientador vê seus orientandos.</t>
  </si>
  <si>
    <t>Os indicadores mostram apenas números e gráficos, sem nome de aluno. Quem tem mais de um perfil vê a soma dos escopos. Distribuição por orientador, evolução de desistências e participações em banca de outros professores são exclusivas da coordenação.</t>
  </si>
  <si>
    <t>RN07 - Perfis e vínculos de acesso / RN18 - Contagem de indicadores</t>
  </si>
  <si>
    <t>TEL16 - Indicadores</t>
  </si>
  <si>
    <t>RBN13.02 - O sistema deve apresentar o indicador de situação dos TCCs, com a quantidade de TCCs por situação acadêmica (rascunho, em análise, aprovado, devolvido, reprovado, concluído e desistência) separada por etapa (TCC1/TCC2), e o indicador de orientações, com a quantidade de orientandos por orientador, também separada por etapa.</t>
  </si>
  <si>
    <t>Coordenador(a); Professor da disciplina; Orientador(a)</t>
  </si>
  <si>
    <t>Cada trabalho é contado uma única vez; múltiplos autores ou membros de banca não multiplicam o total. Exemplo: um orientador com 5 orientandos em TCC1 e 3 em TCC2 aparece com os dois totais separados, não somados. Coordenação: todos os cursos; filtros por curso, período letivo, etapa e orientador. Professor da disciplina: apenas as turmas sob sua responsabilidade e os orientadores dos alunos dessas turmas; filtros por período letivo e turma. Orientador: apenas seus orientandos e o próprio total, sem ver os demais orientadores; filtros por período letivo, etapa e curso. O período letivo vem marcado no vigente.</t>
  </si>
  <si>
    <t>RN01 - Cursos contemplados
RN02 - Tipos e modalidades de TCC
RN07 - Perfis e vínculos de acesso
RN10 - Situações acadêmicas do cadastro
RN18 - Contagem de indicadores</t>
  </si>
  <si>
    <t>RBN13.03 - O sistema deve apresentar o quantitativo de produção científica de TCC's, com a quantidade de artigos por situação editorial (submetido, recusado, em revisão, aceito e publicado).</t>
  </si>
  <si>
    <t>Só entram TCCs da modalidade artigo. Alterar a situação de um artigo o move para o grupo correspondente, sem acrescentar um novo TCC. Coordenação: todos os cursos; filtros por curso e período letivo. Professor da disciplina: artigos dos alunos das suas turmas; filtros por período letivo e turma. Orientador: artigos dos seus orientandos; filtros por período letivo e curso.</t>
  </si>
  <si>
    <t>RN03 - Situações de publicação de artigo
RN07 - Perfis e vínculos de acesso
RN18 - Contagem de indicadores</t>
  </si>
  <si>
    <t>RBN13.04 - O sistema deve apresentar o quantitativo de desistências, com o total de desistências de TCC por período letivo e por curso, e a evolução ao longo dos períodos apenas para a coordenação.</t>
  </si>
  <si>
    <t>Desistência é situação acadêmica distinta de reprovação. Exemplo: gráfico ou tabela com a quantidade de desistências por período, agrupável por curso. Coordenação: todos os cursos, com evolução por período; filtros por curso, intervalo de períodos letivos e etapa. Professor da disciplina: apenas o total da turma no período, sem evolução; filtros por período letivo e turma. Orientador: apenas o total dos seus orientandos no período, sem evolução; filtro por período letivo.</t>
  </si>
  <si>
    <t>RN01 - Cursos contemplados 
RN07 - Perfis e vínculos de acesso
 RN10 - Situações acadêmicas do cadastro 
 RN18 - Contagem de indicadores</t>
  </si>
  <si>
    <t>RBN13.05 - O sistema deve apresentar o quantitativo de participações em banca, com o total de participações por professor, discriminando o papel exercido (orientador, avaliador(es), coorientador e suplente).</t>
  </si>
  <si>
    <t>Exemplo: um professor pode aparecer com 3 participações como avaliador e 1 como orientador no mesmo período. Serve como evidência de colaboração do colegiado e comprovação individual (ex.: concursos internos). O suplente só é contado quando formalmente convocado (RN20). Coordenação: todos os professores; filtros por curso, período letivo, professor e papel. Professor da disciplina e orientador: apenas as próprias participações; filtros por período letivo e papel.</t>
  </si>
  <si>
    <t>RN07 - Perfis e vínculos de acesso 
 RN18 - Contagem de indicadores
RN20 - Suplência da banca</t>
  </si>
  <si>
    <t xml:space="preserve">        RNF02 - Segurança e privacidade 
 RNF03 - Auditabilidade 
 RNF04 - Responsividade</t>
  </si>
  <si>
    <t xml:space="preserve">RBN13.06 - O sistema deve gerar um relatório em PDF com os dados dos RBN13.02 a RBN13.05, usando os filtros escolhidos na tela. </t>
  </si>
  <si>
    <t>O relatório começa com período letivo, curso, filtros usados, quem gerou, data e hora. Depois traz as quatro tabelas, só com o que o perfil pode ver (RBN13.01). Não mostra nome de aluno. Exemplo: o orientador escolhe 2026/2, gera o PDF e recebe os totais dos seus orientandos e dos seus artigos.</t>
  </si>
  <si>
    <t>RBN14.01 - O sistema deve apresentar as apresentações de defesas em ordem de data e horário com título, autor, orientador e local ou link permitido.</t>
  </si>
  <si>
    <t>Exibir curso e formato. Sem apresentações no período, informar ausência de programação; não divulgar PDFs, contatos, matrícula ou notas.</t>
  </si>
  <si>
    <t>RN08 - Autorização e limites da divulgação
RN09 - Condições para publicar apresentação</t>
  </si>
  <si>
    <t>TEL17 - Agenda de apresentações</t>
  </si>
  <si>
    <t>RBN14.02 - O sistema deve permitir filtrar apresentações por curso e período de datas.</t>
  </si>
  <si>
    <t>Validar data final igual ou posterior à inicial, mostrar filtros ativos e permitir limpar. Buscar período sem apresentações deve retornar lista vazia com mensagem.</t>
  </si>
  <si>
    <t>RN01 - Cursos contemplados
RN08 - Autorização e limites da divulgação</t>
  </si>
  <si>
    <t>RBN14.03 - O sistema deve permitir à Coordenação, Professor da disciplina e ao orientador exportar manualmente a agenda de apresentações em formato PDF para distribuição fora do sistema (impressão, mural, TV, compartilhamento em grupos).</t>
  </si>
  <si>
    <t>Reaproveitar os filtros já aplicados na tela (curso, período e data). O arquivo exportado não deve conter dados sensíveis (contatos, matrícula ou notas parciais). Exemplo: exportar a agenda da semana de defesas em PDF pra imprimir e colar no mural do bloco.</t>
  </si>
  <si>
    <t>RN08 - Autorização e limites da divulgação 
RN09 - Condições para publicar apresentação</t>
  </si>
  <si>
    <t>RNF02 - Segurança e privacidade 
RNF04 - Responsividade</t>
  </si>
  <si>
    <t>RBN14.04 - A agenda deve refletir alterações confirmadas da apresentação da defesa sem manter datas ou locais divergentes.</t>
  </si>
  <si>
    <t>Exemplo: defesa remarcada das 14h para 16h passa a exibir 16h. Em cancelamento, a apresentação é retirada da agenda.</t>
  </si>
  <si>
    <t>Fluxo</t>
  </si>
  <si>
    <t>Objetivo</t>
  </si>
  <si>
    <t>Participantes</t>
  </si>
  <si>
    <t>Caminho principal</t>
  </si>
  <si>
    <t>Exceções e alternativas</t>
  </si>
  <si>
    <t>Exemplo concreto</t>
  </si>
  <si>
    <t>Requisitos envolvidos</t>
  </si>
  <si>
    <t>FL01</t>
  </si>
  <si>
    <t>Cadastrar e submeter TCC</t>
  </si>
  <si>
    <t>Abrir Meus TCCs; criar rascunho; preencher identificação, curso, resumo e modalidade; indicar orientação; aguardar o aceite do orientador; enviar o PDF em Documentos e versões; submeter.</t>
  </si>
  <si>
    <t>Campo obrigatório vazio mantém o rascunho. Aluno sem situação "Matriculado" não consegue submeter. Reenvio da mesma solicitação não duplica o protocolo.</t>
  </si>
  <si>
    <t>Exemplo: Ana inicia TCC1/monografia, salva sem PDF, retorna para completar e recebe um único protocolo na submissão.</t>
  </si>
  <si>
    <t>RAN03, RAN06, RAN07</t>
  </si>
  <si>
    <t>TEL04, TEL05, TEL08, TEL09</t>
  </si>
  <si>
    <t>FL02</t>
  </si>
  <si>
    <t>Analisar cadastro</t>
  </si>
  <si>
    <t>Coordenador(a) e aluno</t>
  </si>
  <si>
    <t>Coordenador(a) abre fila; analisa dados e PDF; aprova, devolve ou reprova; aluno consulta parecer; se devolvido, corrige e reenvia.</t>
  </si>
  <si>
    <t>Devolução e reprovação exigem justificativa. Cadastro aprovado não significa defesa aprovada nem artigo publicado.</t>
  </si>
  <si>
    <t>Exemplo: PDF tem título diferente; cadastro é devolvido, aluno corrige e reenvia sob o mesmo protocolo.</t>
  </si>
  <si>
    <t>RAN04, RBN03.05</t>
  </si>
  <si>
    <t>TEL07, TEL05, TEL06</t>
  </si>
  <si>
    <t>FL03</t>
  </si>
  <si>
    <t>Regularizar orientação</t>
  </si>
  <si>
    <t>Aluno, orientador e Coordenador(a)</t>
  </si>
  <si>
    <t>Selecionar orientador; vincular coorientador opcional; comunicar vínculo; orientador aceita ou recusa; acompanhar e substituir quando autorizado.</t>
  </si>
  <si>
    <t>Recusa exige regularização; substituição preserva histórico e pode exigir revisão da banca.</t>
  </si>
  <si>
    <t>Exemplo: orientador se afasta e a Coordenador(a) troca o vínculo com justificativa e comunicação.</t>
  </si>
  <si>
    <t>RAN06, RBN03.06</t>
  </si>
  <si>
    <t>TEL08, TEL10</t>
  </si>
  <si>
    <t>FL04</t>
  </si>
  <si>
    <t>Preparar e agendar defesa</t>
  </si>
  <si>
    <t>Orientador ou professor da disciplina (conforme RN14)</t>
  </si>
  <si>
    <t>Verificar se o PDF da versão para banca foi enviado; compor banca; cadastrar membros externos; selecionar formato, data e intervalo; verificar conflitos; confirmar; enviar convites.</t>
  </si>
  <si>
    <t>Composição insuficiente ou membro repetido impede a confirmação. Conflito de horário exige escolher outro horário.</t>
  </si>
  <si>
    <t>Exemplo: membro interno participa de outra defesa às 14h30; agendamento das 14h às 15h apresenta conflito.</t>
  </si>
  <si>
    <t>RBN01.12, RBN09.01 a RBN09.05, RAN07</t>
  </si>
  <si>
    <t>TEL09, TEL10, TEL11</t>
  </si>
  <si>
    <t>FL05</t>
  </si>
  <si>
    <t>Divulgar e remarcar</t>
  </si>
  <si>
    <t>Responsável pela agenda e Coordenador(a)</t>
  </si>
  <si>
    <t>Abrir defesa confirmada; revisar dados públicos; publicar; usuário consulta agenda; remarcação no registro de defesa atualiza a divulgação.</t>
  </si>
  <si>
    <t>Retirada da agenda não cancela defesa. Cancelamento da defesa exige atualizar a agenda e avisar envolvidos. Não publicar notas ou PDF.</t>
  </si>
  <si>
    <t>Exemplo: apresentação muda de sala e de 14h para 16h; agenda passa a mostrar os novos dados.</t>
  </si>
  <si>
    <t>RAN14, RBN09.07, RBN09.08</t>
  </si>
  <si>
    <t>TEL11, TEL17, TEL18</t>
  </si>
  <si>
    <t>FL06</t>
  </si>
  <si>
    <t>Avaliar e emitir ata</t>
  </si>
  <si>
    <t>Banca e orientador</t>
  </si>
  <si>
    <t>Cada avaliador (avaliadores e orientador) registra conceito por critério no instrumento vigente; sistema calcula nota do critério e nota ponderada; consolidar resultado aplicando a regra de exceção para artigo Qualis A/B quando cabível; confirmar; disponibilizar ao aluno; gerar ata e, se TCC2/artigo, Folha de Aprovação pelo modelo.</t>
  </si>
  <si>
    <t>Nota inválida ou avaliação obrigatória ausente bloqueia conclusão. Erro após confirmação exige retificação com histórico.</t>
  </si>
  <si>
    <t>Exemplo: nota 11 é recusada (escala 0–10); corrigida a nota, o orientador confirma o resultado e o sistema gera a ata.</t>
  </si>
  <si>
    <t>RAN10, RBN09.11 a RBN09.17</t>
  </si>
  <si>
    <t>TEL12, TEL13</t>
  </si>
  <si>
    <t>FL07</t>
  </si>
  <si>
    <t>Corrigir e encerrar TCC</t>
  </si>
  <si>
    <t>Aluno, avaliadores e professor responsável pela turma</t>
  </si>
  <si>
    <t>Sistema cria a lista de correções com prazo; aluno envia a versão final e marca as correções atendidas; professor responsável pela turma aprova ou devolve cada correção; sistema conclui o TCC quando todas estiverem aprovadas.</t>
  </si>
  <si>
    <t>Entrega não equivale a aprovação. Entrega fora do prazo é registrada como "entregue com atraso" e o professor responsável decide se aceita. Concluir o TCC não altera automaticamente a situação do artigo.</t>
  </si>
  <si>
    <t>Exemplo: a banca exige ajustes nas referências; o aluno envia a versão final, o professor responsável aprova a correção e o TCC é concluído.</t>
  </si>
  <si>
    <t>RAN11, RAN07</t>
  </si>
  <si>
    <t>TEL14, TEL09, TEL06</t>
  </si>
  <si>
    <t>FL08</t>
  </si>
  <si>
    <t>Acompanhar publicação</t>
  </si>
  <si>
    <t>Autor e perfil autorizado</t>
  </si>
  <si>
    <t>Registrar submissão e veículo; atualizar situação editorial; consultar histórico; refletir indicadores autorizados.</t>
  </si>
  <si>
    <t>Cadastro aprovado, defesa aprovada e artigo aceito são registros independentes. Nova submissão não deve apagar o histórico do veículo anterior.</t>
  </si>
  <si>
    <t>Exemplo: TCC concluído permanece com artigo em revisão até receber decisão editorial.</t>
  </si>
  <si>
    <t>RAN12, RBN03.02, RBN13.03</t>
  </si>
  <si>
    <t>TEL15, TEL16</t>
  </si>
  <si>
    <t>FL09</t>
  </si>
  <si>
    <t>Registrar ocorrências e frequência</t>
  </si>
  <si>
    <t>Orientador ou Coordenador(a)</t>
  </si>
  <si>
    <t>Abrir defesa realizada; registrar ocorrências em texto livre; registrar nome e matrícula dos ouvintes presentes; emitir declaração de horas complementares quando solicitado.</t>
  </si>
  <si>
    <t>Registro incompleto de matrícula impede a emissão da declaração para aquele ouvinte.</t>
  </si>
  <si>
    <t>Exemplo: dois alunos assistem a uma defesa de TCC2 e recebem declaração de 2h de atividade complementar.</t>
  </si>
  <si>
    <t>RBN09.10</t>
  </si>
  <si>
    <t>TEL19</t>
  </si>
  <si>
    <t>FL10</t>
  </si>
  <si>
    <t>Autenticar e gerenciar sessão</t>
  </si>
  <si>
    <t>Todos os perfis</t>
  </si>
  <si>
    <t>Informar e-mail institucional e senha; sistema valida credenciais; redireciona ao painel correspondente ao perfil; sessão permanece ativa até logout ou expiração por inatividade.</t>
  </si>
  <si>
    <t>Credenciais inválidas não avançam e não indicam qual campo está incorreto (RBN01.06); após 3 tentativas inválidas consecutivas a conta é bloqueada por 15 minutos; sessão expira após 60 minutos de inatividade; "esqueci a senha" aciona RBN01.07 (link de recuperação); primeiro acesso exige ativação por link enviado no cadastro (RBN01.05).</t>
  </si>
  <si>
    <t>Exemplo: um professor erra a senha 3 vezes seguidas às 14h e só consegue tentar novamente às 14h15.</t>
  </si>
  <si>
    <t>RBN01.04 a RBN01.07</t>
  </si>
  <si>
    <t>TEL01</t>
  </si>
  <si>
    <t>Tela</t>
  </si>
  <si>
    <t>Nome</t>
  </si>
  <si>
    <t>Conteúdo e ações</t>
  </si>
  <si>
    <t>Acesso e sessão</t>
  </si>
  <si>
    <t>Entrar, sair e informar falha de autenticação.</t>
  </si>
  <si>
    <t>TEL02</t>
  </si>
  <si>
    <t>Usuários e perfis</t>
  </si>
  <si>
    <t>Cadastrar usuários, consultar vínculo institucional e atribuir perfis.</t>
  </si>
  <si>
    <t>TEL03</t>
  </si>
  <si>
    <t>Ideias de TCC</t>
  </si>
  <si>
    <t>Listar propostas, abrir discussão e moderar conteúdo.</t>
  </si>
  <si>
    <t>TEL04</t>
  </si>
  <si>
    <t>Meus TCCs</t>
  </si>
  <si>
    <t>Consultar trabalhos, filtrar e iniciar cadastro.</t>
  </si>
  <si>
    <t>TEL05</t>
  </si>
  <si>
    <t>Cadastro de TCC</t>
  </si>
  <si>
    <t>Identificação, autoria, orientação, curso, etapa, modalidade e informações do artigo.</t>
  </si>
  <si>
    <t>TEL06</t>
  </si>
  <si>
    <t>Detalhes e acompanhamento do TCC</t>
  </si>
  <si>
    <t>Consultar protocolo, situações, vínculos, documentos e histórico.</t>
  </si>
  <si>
    <t>TEL07</t>
  </si>
  <si>
    <t>Análise de cadastros</t>
  </si>
  <si>
    <t>Fila da Coordenador(a), parecer, devolução, aprovação e reprovação.</t>
  </si>
  <si>
    <t>TEL08</t>
  </si>
  <si>
    <t>Orientação do TCC</t>
  </si>
  <si>
    <t>Vínculos de orientador e coorientador, aceite do orientador e substituição.</t>
  </si>
  <si>
    <t>TEL09</t>
  </si>
  <si>
    <t>Documentos e versões</t>
  </si>
  <si>
    <t>Enviar PDF, consultar versões e distinguir preliminar, versão para banca e final.</t>
  </si>
  <si>
    <t>TEL10</t>
  </si>
  <si>
    <t>Banca examinadora</t>
  </si>
  <si>
    <t>Compor banca, identificar membros e acompanhar convites.</t>
  </si>
  <si>
    <t>TEL11</t>
  </si>
  <si>
    <t>Agendamento da defesa</t>
  </si>
  <si>
    <t>Verificar elegibilidade, data, início/fim, local/link, conflitos e remarcações.</t>
  </si>
  <si>
    <t>TEL12</t>
  </si>
  <si>
    <t>Avaliações e resultado</t>
  </si>
  <si>
    <t>Lançar notas e pareceres, consolidar resultado e registrar retificação.</t>
  </si>
  <si>
    <t>TEL13</t>
  </si>
  <si>
    <t>Documentos da defesa</t>
  </si>
  <si>
    <t>Gerar ata e Folha de Aprovação (TCC2/artigo, liberada após anuência do aluno às correções), consultar versões e emitir certificados.</t>
  </si>
  <si>
    <t>TEL14</t>
  </si>
  <si>
    <t>Correções e encerramento</t>
  </si>
  <si>
    <t>Registrar exigências, prazo, entrega corrigida, aprovação das correções e conclusão.</t>
  </si>
  <si>
    <t>TEL15</t>
  </si>
  <si>
    <t>Publicações</t>
  </si>
  <si>
    <t>Registrar veículo, situação editorial e histórico.</t>
  </si>
  <si>
    <t>TEL16</t>
  </si>
  <si>
    <t>Indicadores</t>
  </si>
  <si>
    <t>Consultar indicadores de situação dos TCCs, produção científica, desistências e participações em banca, limitados ao escopo do perfil, e gerar relatório em PDF.</t>
  </si>
  <si>
    <t>TEL17</t>
  </si>
  <si>
    <t>Agenda de apresentações</t>
  </si>
  <si>
    <t>Consultar programação, curso, período, local/link e cancelamentos.</t>
  </si>
  <si>
    <t>TEL18</t>
  </si>
  <si>
    <t>Publicação da agenda</t>
  </si>
  <si>
    <t>Revisar campos de divulgação e publicar ou retirar apresentações.</t>
  </si>
  <si>
    <t>Ocorrências e frequência</t>
  </si>
  <si>
    <t>Registrar ocorrências da sessão de defesa e a lista de ouvintes presentes, para subsidiar declaração de horas complementares.</t>
  </si>
  <si>
    <t>TEL20</t>
  </si>
  <si>
    <t>Instrumento de avaliação</t>
  </si>
  <si>
    <t>Configurar componentes, critérios e pesos do instrumento de avaliação; as faixas de conceito são fixas (exemplar 8,0 a 10,0, competente 6,0 a 7,9, necessita de trabalho 0,0 a 5,9); consultar versões anteriores.</t>
  </si>
  <si>
    <t>RAN</t>
  </si>
  <si>
    <t>Requisito de alto nível</t>
  </si>
  <si>
    <t>RAN01</t>
  </si>
  <si>
    <t>Gerenciar usuários e acesso</t>
  </si>
  <si>
    <t>O sistema deve gerenciar usuários (aluno, professor da disciplina, orientador, coordenador e membro da banca) e as permissões dos cinco perfis previstos no escopo.</t>
  </si>
  <si>
    <t>MOD01 - Usuários e acesso</t>
  </si>
  <si>
    <t>RAN02</t>
  </si>
  <si>
    <t>Compartilhar ideias de TCC</t>
  </si>
  <si>
    <t>O sistema deve permitir a alunos compartilhar e discutir propostas, com moderação.</t>
  </si>
  <si>
    <t>MOD02 - Interação e compartilhamento de ideias</t>
  </si>
  <si>
    <t>RAN03</t>
  </si>
  <si>
    <t>Cadastrar TCC</t>
  </si>
  <si>
    <t>O sistema deve permitir que o aluno cadastre e submeta um novo TCC.</t>
  </si>
  <si>
    <t>MOD03 - Gestão e acompanhamento dos TCCs</t>
  </si>
  <si>
    <t>RAN04</t>
  </si>
  <si>
    <t>Validar cadastro de TCC</t>
  </si>
  <si>
    <t>O sistema deve permitir que a Coordenador(a) analise o cadastro do TCC, aprove, devolva para correção ou reprove a solicitação.</t>
  </si>
  <si>
    <t>RAN05</t>
  </si>
  <si>
    <t>Acompanhar os TCCs</t>
  </si>
  <si>
    <t>O sistema deve permitir consultar e atualizar a evolução dos trabalhos e seus vínculos acadêmicos.</t>
  </si>
  <si>
    <t>RAN06</t>
  </si>
  <si>
    <t>Gerenciar vínculos de orientação</t>
  </si>
  <si>
    <t>O sistema deve permitir vincular orientador e coorientador do TCC.</t>
  </si>
  <si>
    <t>RAN07</t>
  </si>
  <si>
    <t>Gerenciar documentos do TCC</t>
  </si>
  <si>
    <t>O sistema deve permitir enviar, consultar e versionar os documentos preliminares e finais do TCC.</t>
  </si>
  <si>
    <t>RAN08</t>
  </si>
  <si>
    <t>Organizar TCCs por turma</t>
  </si>
  <si>
    <t>O sistema deve organizar os TCCs por turma (período, curso e professor responsável) e restringir o acompanhamento da turma ao seu professor.</t>
  </si>
  <si>
    <t>RAN09</t>
  </si>
  <si>
    <t>Gerenciar defesas</t>
  </si>
  <si>
    <t>O sistema deve apoiar a organização de bancas, apresentações, avaliações e documentos de defesa.</t>
  </si>
  <si>
    <t>MOD04 - Gestão da defesa</t>
  </si>
  <si>
    <t>RAN10</t>
  </si>
  <si>
    <t>Aplicar instrumento de avaliação ponderado</t>
  </si>
  <si>
    <t>O sistema deve aplicar um instrumento de avaliação de defesa versionado, com componentes e critérios ponderados.</t>
  </si>
  <si>
    <t>RAN11</t>
  </si>
  <si>
    <t>Concluir pendências após a defesa</t>
  </si>
  <si>
    <t>O sistema deve permitir acompanhar as correções exigidas pela banca e registrar o encerramento acadêmico do TCC.</t>
  </si>
  <si>
    <t>RAN12</t>
  </si>
  <si>
    <t>Acompanhar publicações</t>
  </si>
  <si>
    <t>O sistema deve permitir o acompanhamento da submissão e publicação dos trabalhos, especialmente artigos científicos.</t>
  </si>
  <si>
    <t>MOD05 - Gestão da publicação</t>
  </si>
  <si>
    <t>RAN13</t>
  </si>
  <si>
    <t>Consultar indicadores gerenciais</t>
  </si>
  <si>
    <t>O sistema deve apresentar indicadores para acompanhar TCCs, orientações e produção científica.</t>
  </si>
  <si>
    <t>MOD06 - Dashboard gerencial</t>
  </si>
  <si>
    <t>RAN14</t>
  </si>
  <si>
    <t>Divulgar a agenda de apresentações</t>
  </si>
  <si>
    <t>O sistema deve divulgar a agenda de apresentações de TCC a partir dos dados das defesas.</t>
  </si>
  <si>
    <t>MOD07 - Agenda das apresentações</t>
  </si>
  <si>
    <t>RN</t>
  </si>
  <si>
    <t>Regra de negócio</t>
  </si>
  <si>
    <t>Requisitos relacionados</t>
  </si>
  <si>
    <t>RN01</t>
  </si>
  <si>
    <t>Cursos contemplados</t>
  </si>
  <si>
    <t>Cursos contemplados: Engenharia de Computação, Licenciatura em Computação e Sistemas de Informação.</t>
  </si>
  <si>
    <t>RBN03.01, RBN05.01, RBN05.03, RBN13.02, RBN13.04, RBN14.02</t>
  </si>
  <si>
    <t>RN02</t>
  </si>
  <si>
    <t>Tipos e modalidades de TCC</t>
  </si>
  <si>
    <t>Tipos de TCC: TCC1 e TCC2. Modalidades: monografia e artigo.</t>
  </si>
  <si>
    <t>RBN03.01 e RBN03.02, RBN05.01, RBN05.04, RBN13.02</t>
  </si>
  <si>
    <t>RN03</t>
  </si>
  <si>
    <t>Situações de publicação de artigo</t>
  </si>
  <si>
    <t>Na modalidade artigo, registrar situação editorial e veículo de submissão/publicação. As situações são submetido, em revisão, aceito, recusado e publicado, separadas da situação acadêmica do TCC.</t>
  </si>
  <si>
    <t>RBN03.02, RBN12.01 a RBN12.04, RBN13.03</t>
  </si>
  <si>
    <t>RN04</t>
  </si>
  <si>
    <t>Unicidade do cadastro por período</t>
  </si>
  <si>
    <t>Um usuário não pode manter dois cadastros no mesmo período letivo.</t>
  </si>
  <si>
    <t>RBN03.04</t>
  </si>
  <si>
    <t>RN05</t>
  </si>
  <si>
    <t>Elegibilidade de matrícula</t>
  </si>
  <si>
    <t>O aluno só pode submeter o cadastro de TCC se estiver incluído em uma turma pela coordenação e com situação "Matriculado" (RBN08.03).</t>
  </si>
  <si>
    <t>RBN03.03, RBN03.07</t>
  </si>
  <si>
    <t>RN06</t>
  </si>
  <si>
    <t>Responsabilidade pela aprovação</t>
  </si>
  <si>
    <t>A aprovação de cadastro é responsabilidade do perfil coordenador.</t>
  </si>
  <si>
    <t>RBN04.01 a RBN04.04</t>
  </si>
  <si>
    <t>RN07</t>
  </si>
  <si>
    <t>Perfis e vínculos de acesso</t>
  </si>
  <si>
    <t>As operações dependem do perfil e do vínculo com o trabalho. Os perfis são aluno, orientador, professor da disciplina, coordenador e membro da banca. Uma pessoa pode ter mais de um perfil (por exemplo, coordenador e professor da disciplina); o professor da disciplina vê só as próprias turmas; o orientador vê só os próprios orientandos.</t>
  </si>
  <si>
    <t>RBN01.01 a RBN01.10, RBN01.13 e RBN01.14, RBN02.01 a RBN02.03, RBN03.01, RBN03.05 e RBN03.06, RBN04.01, RBN04.05, RBN05.01 a RBN05.05, RBN06.01 a RBN06.03, RBN07.01, RBN07.03 e RBN07.04, RBN08.01 e RBN08.02, RBN08.05, RBN09.01, RBN09.05, RBN09.07 e RBN09.08, RBN09.12 e RBN09.13, RBN09.16, RBN11.02 e RBN11.03, RBN12.01 e RBN12.02, RBN13.01 a RBN13.06</t>
  </si>
  <si>
    <t>RN08</t>
  </si>
  <si>
    <t>Autorização e limites da divulgação</t>
  </si>
  <si>
    <t>Só ficam visíveis na agenda as apresentações autorizadas para divulgação. Notas, matrícula e contatos pessoais nunca aparecem na divulgação.</t>
  </si>
  <si>
    <t>RBN07.04, RBN09.13, RBN14.01 a RBN14.04</t>
  </si>
  <si>
    <t>RN09</t>
  </si>
  <si>
    <t>Condições para publicar apresentação</t>
  </si>
  <si>
    <t>Uma apresentação só é publicada com TCC identificado e com data, horário e local ou link confirmados. Alterações usam o mesmo registro da defesa.</t>
  </si>
  <si>
    <t>RBN09.03, RBN09.07 e RBN09.08, RBN14.01, RBN14.03 e RBN14.04</t>
  </si>
  <si>
    <t>RN10</t>
  </si>
  <si>
    <t>Situações acadêmicas do cadastro</t>
  </si>
  <si>
    <t>O rascunho pode ser submetido para análise; a análise permite aprovação, devolução para correção ou reprovação. O reenvio preserva o protocolo. Desistência é uma situação adicional, válida em qualquer etapa do acompanhamento, registrada com data e motivo pelo orientador ou pelo professor da disciplina. A situação acadêmica é distinta da situação editorial e do resultado da defesa.</t>
  </si>
  <si>
    <t>RBN03.03 a RBN03.05, RBN04.01 a RBN04.05, RBN05.01 e RBN05.02, RBN05.04, RBN11.04, RBN13.02, RBN13.04</t>
  </si>
  <si>
    <t>RN11</t>
  </si>
  <si>
    <t>Documentos e versões do TCC</t>
  </si>
  <si>
    <t>Documentos em PDF com finalidade e versão identificadas, de até 20 MB. Arquivo inválido não substitui a versão vigente. O acesso depende da finalidade da versão.</t>
  </si>
  <si>
    <t>RBN03.03, RBN07.01 a RBN07.05, RBN11.02</t>
  </si>
  <si>
    <t>RN12</t>
  </si>
  <si>
    <t>Composição da banca</t>
  </si>
  <si>
    <t>A banca não pode ter membro duplicado. Cada membro é classificado como interno ou externo, e o externo tem a instituição registrada. Composição: 2 avaliadores (internos ou externos), orientador (obrigatório), coorientador (opcional) e suplente (opcional).</t>
  </si>
  <si>
    <t>RBN01.12, RBN09.01 e RBN09.02, RBN09.04 e RBN09.05, RBN09.09, RBN09.17</t>
  </si>
  <si>
    <t>RN13</t>
  </si>
  <si>
    <t>Avaliação e resultado</t>
  </si>
  <si>
    <t>A nota vai de 0 a 10. O resultado da defesa é aprovado, aprovado com correções ou reprovado, confirmado pelo orientador depois que todos os avaliadores enviarem a avaliação. Alterar um resultado confirmado exige retificação, com registro de quem alterou e quando.</t>
  </si>
  <si>
    <t>RBN09.11 a RBN09.15, RBN10.01 e RBN10.02, RBN10.04 e RBN10.05, RBN11.01, RBN11.04</t>
  </si>
  <si>
    <t>RN14</t>
  </si>
  <si>
    <t>O horário final é posterior ao inicial. O formato (presencial, remoto ou híbrido) define se local, link ou ambos são obrigatórios. A defesa só é confirmada depois de verificar os conflitos de horário conhecidos pelo sistema. Remarcação e cancelamento preservam o histórico. Quem agenda: o professor da disciplina em Sistemas de Informação e o orientador nos demais cursos.</t>
  </si>
  <si>
    <t>RBN09.01, RBN09.03 e RBN09.04, RBN09.06 a RBN09.08</t>
  </si>
  <si>
    <t>RN15</t>
  </si>
  <si>
    <t>Documentos oficiais e retificações</t>
  </si>
  <si>
    <t>Ata e Folha de Aprovação seguem o modelo institucional e a versão do resultado. Retificação preserva o documento anterior como substituído. O certificado só é emitido para quem participou da defesa realizada.</t>
  </si>
  <si>
    <t>RBN09.14 a RBN09.17, RBN11.04</t>
  </si>
  <si>
    <t>RN16</t>
  </si>
  <si>
    <t>Vínculos de orientação</t>
  </si>
  <si>
    <t>Orientação e coorientação são vínculos com data. A substituição preserva o histórico. O coorientador é opcional e pode ser externo. A orientação só passa a valer depois que o orientador aceita; recusas não são guardadas.</t>
  </si>
  <si>
    <t>RBN03.06, RBN06.01 a RBN06.03</t>
  </si>
  <si>
    <t>RN17</t>
  </si>
  <si>
    <t>Cada correção exigida tem descrição, avaliador, situação e prazo. O TCC só é concluído com o resultado confirmado, todas as correções aprovadas pelo professor responsável pela turma e a versão final enviada.</t>
  </si>
  <si>
    <t>RBN05.02, RBN09.12 e RBN09.13, RBN09.15, RBN11.01 a RBN11.04</t>
  </si>
  <si>
    <t>RN18</t>
  </si>
  <si>
    <t>Contagem de indicadores</t>
  </si>
  <si>
    <t>Cada TCC é contado uma única vez, mesmo com mais de um autor ou membro de banca. Situação acadêmica e situação editorial são contadas separadamente. Os indicadores respeitam o escopo do perfil: a coordenação vê todos os cursos, o professor da disciplina vê as turmas sob sua responsabilidade e o orientador vê seus orientandos. Quem tem mais de um perfil vê a soma dos escopos. Os indicadores não mostram nome de aluno.</t>
  </si>
  <si>
    <t>RBN13.01 a RBN13.06</t>
  </si>
  <si>
    <t>RN19</t>
  </si>
  <si>
    <t>Instrumento de avaliação ponderado</t>
  </si>
  <si>
    <t>A avaliação da defesa usa um instrumento versionado com componentes e critérios ponderados; alterar o instrumento gera nova versão e não afeta defesas já avaliadas.</t>
  </si>
  <si>
    <t>RBN10.01 a RBN10.05</t>
  </si>
  <si>
    <t>RN20</t>
  </si>
  <si>
    <t>Suplência da banca</t>
  </si>
  <si>
    <t>A banca pode ter suplente indicado no cadastro; o suplente não integra o quórum nem avalia até ser formalmente convocado em substituição a um titular, com registro auditável.</t>
  </si>
  <si>
    <t>RBN09.09, RBN13.05 e RBN13.06</t>
  </si>
  <si>
    <t>RN21</t>
  </si>
  <si>
    <t>Nota final e regra de exceção editorial</t>
  </si>
  <si>
    <t>A nota final é a média das notas dos dois avaliadores e do orientador. Quando o artigo estiver aceito ou publicado em veículo Qualis A ou B, a nota final é o maior valor entre 6,0 e essa média.</t>
  </si>
  <si>
    <t>RBN09.11</t>
  </si>
  <si>
    <t>RN22</t>
  </si>
  <si>
    <t>Duração da defesa por etapa</t>
  </si>
  <si>
    <t>A defesa de TCC1 dura 15 minutos no total e a de TCC2, 20 minutos. O sistema não impede uma defesa mais longa quando autorizada.</t>
  </si>
  <si>
    <t>RBN09.03</t>
  </si>
  <si>
    <t>RN23</t>
  </si>
  <si>
    <t>Ocorrências e frequência de ouvintes</t>
  </si>
  <si>
    <t>A defesa pode registrar ocorrências em texto livre e a lista de ouvintes presentes (nome e matrícula), usada para emitir declaração de horas complementares.</t>
  </si>
  <si>
    <t>RN24</t>
  </si>
  <si>
    <t>Turmas e vínculo do professor responsável</t>
  </si>
  <si>
    <t>O TCC é vinculado a uma turma (período, curso, professor); o acompanhamento, a aprovação de correções e o encerramento de uma turma ficam restritos ao professor responsável por ela.</t>
  </si>
  <si>
    <t>RBN08.01 a RBN08.03, RBN08.05, RBN11.01, RBN11.03</t>
  </si>
  <si>
    <t>RN25</t>
  </si>
  <si>
    <t>Vínculo de professores a áreas de interesse</t>
  </si>
  <si>
    <t>Cada professor pode estar associado a uma ou mais áreas de interesse, entre as cadastradas pela coordenação (RBN01.02). Esse vínculo faz uma proposta direcionada "por área" (RBN02.01) aparecer para o professor certo. O professor edita as próprias áreas (RBN01.10).</t>
  </si>
  <si>
    <t>RBN01.10, RBN02.01</t>
  </si>
  <si>
    <t>RN26</t>
  </si>
  <si>
    <t>Composição das turmas de TCC</t>
  </si>
  <si>
    <t>A turma de TCC2 é organizada por orientador: cada orientador tem uma turma própria, composta por todos os seus orientandos vigentes em TCC2 no período letivo. Diferente da turma de TCC1, que é organizada por disciplina/período, com o professor da disciplina responsável por vários alunos que não são necessariamente seus orientandos.</t>
  </si>
  <si>
    <t>RBN08.01, RBN08.04, RBN11.03</t>
  </si>
  <si>
    <t>RN27</t>
  </si>
  <si>
    <t>Prazo de encerramento de acesso do aluno</t>
  </si>
  <si>
    <t>O acesso do aluno ao sistema é mantido por 7 dias após a aprovação oficial em TCC2, para permitir consultas finais, sendo revogado automaticamente após esse prazo.</t>
  </si>
  <si>
    <t>RBN01.11</t>
  </si>
  <si>
    <t>RNF</t>
  </si>
  <si>
    <t>Condição de qualidade</t>
  </si>
  <si>
    <t>Como verificar</t>
  </si>
  <si>
    <t>RNF01</t>
  </si>
  <si>
    <t>Desempenho do cadastro</t>
  </si>
  <si>
    <t>A submissão do cadastro de TCC deve ser processada e confirmada em até 3 segundos no percentil 95 (p95), sob carga de até 30 submissões simultâneas (pico estimado no encerramento do prazo), medido do clique em 'Enviar' até o retorno do protocolo, excluindo o envio assíncrono do e-mail ao orientador.</t>
  </si>
  <si>
    <t>Teste de carga com 30 submissões simultâneas, medindo o tempo do clique em "Enviar" até o retorno do protocolo.</t>
  </si>
  <si>
    <t>RNF02</t>
  </si>
  <si>
    <t>Segurança e privacidade</t>
  </si>
  <si>
    <t>(a) Senhas armazenadas com hash e salt (bcrypt, custo ≥10), nunca em texto plano; (b) toda comunicação cliente-servidor via HTTPS/TLS 1.2 ou superior; (c) token de sessão expira após 60 minutos de inatividade (RBN01.06); (d) tratamento de dados pessoais conforme a LGPD (Lei nº 13.709/2018); (e) na agenda pública (RBN14.01), exibir apenas nome do aluno, título, data, horário e local — nunca CPF, matrícula, e-mail ou notas.</t>
  </si>
  <si>
    <t>Revisar o armazenamento de senhas (bcrypt), o uso de HTTPS/TLS e os campos exibidos na agenda pública.</t>
  </si>
  <si>
    <t>RNF03</t>
  </si>
  <si>
    <t>Auditabilidade</t>
  </si>
  <si>
    <t>Registrar, em log não editável pelos usuários, para toda alteração em cadastro, aprovação, defesa, publicação ou agenda: usuário responsável, data/hora (fuso America/Manaus), campo alterado, valor anterior e valor novo. Manter o histórico por, no mínimo, 5 anos após a conclusão do TCC.</t>
  </si>
  <si>
    <t>Conferir no log os campos registrados (usuário, data/hora, campo, valor anterior e valor novo) e a retenção de 5 anos.</t>
  </si>
  <si>
    <t>RNF04</t>
  </si>
  <si>
    <t>Responsividade</t>
  </si>
  <si>
    <t>Permitir concluir, sem perda de funcionalidade ou rolagem horizontal, o cadastro de TCC e as demais operações críticas (aprovação, consulta de documentos, lançamento de notas) em telas a partir de 360px de largura (smartphones) e 768px (tablets), testado nas duas versões mais recentes do Chrome e do Safari para dispositivos móveis.</t>
  </si>
  <si>
    <t>Testar cadastro, aprovação, documentos e notas em telas de 360px e 768px, nas duas versões mais recentes do Chrome e do Safari móveis.</t>
  </si>
  <si>
    <t>RNF05</t>
  </si>
  <si>
    <t>Desempenho da geração de ata</t>
  </si>
  <si>
    <t>A geração da ata em PDF (RBN09.14) deve concluir e disponibilizar o download em até 5 segundos no percentil 95 (p95), a partir da confirmação do resultado da defesa pelo orientador (RBN09.12).</t>
  </si>
  <si>
    <t>Medir o tempo de geração da ata em PDF (p95) depois da confirmação do resultado.</t>
  </si>
  <si>
    <t>RNF06</t>
  </si>
  <si>
    <t>Integridade dos registros e arquivos</t>
  </si>
  <si>
    <t>Garantir atomicidade: falha de rede ou clique duplicado não cria protocolos duplicados (RBN03.04) nem arquivos corrompidos; falha no upload de nova versão de documento (RBN07.03) não remove nem sobrescreve a versão anterior válida; todo arquivo armazenado tem checksum (SHA-256) verificado no upload e na leitura.</t>
  </si>
  <si>
    <t>Testar clique duplicado, falha de rede e falha de upload; conferir o checksum SHA-256 dos arquivos.</t>
  </si>
  <si>
    <t>RNF07</t>
  </si>
  <si>
    <t>Disponibilidade</t>
  </si>
  <si>
    <t>O sistema deve manter disponibilidade mínima de 99% durante os períodos de pico (últimas duas semanas de cada etapa de TCC1/TCC2, conforme calendário acadêmico), com Tempo Médio de Recuperação (MTTR) de até 30 minutos.</t>
  </si>
  <si>
    <t>Medir a disponibilidade nas duas últimas semanas de cada etapa e o tempo de recuperação após uma falha.</t>
  </si>
  <si>
    <t>Requisitos</t>
  </si>
  <si>
    <t>Atividade</t>
  </si>
  <si>
    <t>Responsável</t>
  </si>
  <si>
    <t>Artefato</t>
  </si>
  <si>
    <t>Integração</t>
  </si>
  <si>
    <t>Teste</t>
  </si>
  <si>
    <t>Entrega</t>
  </si>
  <si>
    <t>RBN03.01, RBN03.02</t>
  </si>
  <si>
    <t>A4 (tela) / A3 (API)</t>
  </si>
  <si>
    <t>Igor L. (tela); Davih (API)</t>
  </si>
  <si>
    <t>Tela React; endpoints</t>
  </si>
  <si>
    <t>Tela ↔ API</t>
  </si>
  <si>
    <t>TI-01, TI-02, TI-04</t>
  </si>
  <si>
    <t>Marco de integração 2</t>
  </si>
  <si>
    <t>RBN03.04, RN04</t>
  </si>
  <si>
    <t>A3 / A1</t>
  </si>
  <si>
    <t>Davih</t>
  </si>
  <si>
    <t>Endpoints; esquema do banco</t>
  </si>
  <si>
    <t>API ↔ banco</t>
  </si>
  <si>
    <t>TI-01, TI-03</t>
  </si>
  <si>
    <t>RBN03.03, RN05</t>
  </si>
  <si>
    <t>A5</t>
  </si>
  <si>
    <t>Matheus</t>
  </si>
  <si>
    <t>Componente de validação</t>
  </si>
  <si>
    <t>API ↔ base acadêmica</t>
  </si>
  <si>
    <t>TI-05</t>
  </si>
  <si>
    <t>Marco de integração 3</t>
  </si>
  <si>
    <t>RBN03.06</t>
  </si>
  <si>
    <t>A6</t>
  </si>
  <si>
    <t>Samuel</t>
  </si>
  <si>
    <t>Componente de notificação</t>
  </si>
  <si>
    <t>API ↔ e-mail</t>
  </si>
  <si>
    <t>TI-06</t>
  </si>
  <si>
    <t>RAN04; RBN04.02; RN06 e RN07; RNF03</t>
  </si>
  <si>
    <t>A7</t>
  </si>
  <si>
    <t>Fluxo de aprovação</t>
  </si>
  <si>
    <t>Coordenador(a) ↔ API</t>
  </si>
  <si>
    <t>TI-07</t>
  </si>
  <si>
    <t>RNF01, RNF03, RNF04</t>
  </si>
  <si>
    <t>A3, A4, A10</t>
  </si>
  <si>
    <t>Davih; Igor L.; Samuel</t>
  </si>
  <si>
    <t>Log de auditoria; tela responsiva; ambiente</t>
  </si>
  <si>
    <t>Sistema ↔ hospedagem</t>
  </si>
  <si>
    <t>TI-01; teste de responsividade em telas de 360px e 768px (RNF04)</t>
  </si>
  <si>
    <t>RAN14; RBN14.01, RBN14.02, RBN14.04; RN07 a RN09; RNF02 a RNF04</t>
  </si>
  <si>
    <t>A9 / A13</t>
  </si>
  <si>
    <t>Agenda; registros de defesa</t>
  </si>
  <si>
    <t>Agenda ↔ defesa</t>
  </si>
  <si>
    <t>TI-08</t>
  </si>
  <si>
    <t>Marco de integração 4</t>
  </si>
  <si>
    <t>Decisão</t>
  </si>
  <si>
    <t>Tema</t>
  </si>
  <si>
    <t>Ponto de decisão</t>
  </si>
  <si>
    <t>Requisitos e regras</t>
  </si>
  <si>
    <t>Decisão adotada</t>
  </si>
  <si>
    <t>D01</t>
  </si>
  <si>
    <t>Autoria</t>
  </si>
  <si>
    <t>TCC admite apenas um aluno ou coautoria? Quais exceções de duplicidade existem entre TCC1 e TCC2?</t>
  </si>
  <si>
    <t>RBN03.01, RBN03.04, RN04</t>
  </si>
  <si>
    <t>O aluno responsável pelo cadastro é identificado pela sessão (RBN03.01). Um aluno não mantém dois cadastros no mesmo período letivo (RN04).</t>
  </si>
  <si>
    <t>D02</t>
  </si>
  <si>
    <t>Campos e documentos</t>
  </si>
  <si>
    <t>Quais campos são obrigatórios na submissão? PDF é exigido no cadastro, na solicitação de defesa ou em ambos?</t>
  </si>
  <si>
    <t>RBN03.01, RBN03.03, RAN07</t>
  </si>
  <si>
    <t>Subtítulo e coorientador são opcionais. O resumo tem até 500 palavras e há no máximo 10 palavras-chave (RBN03.01). O PDF não é exigido no cadastro; é enviado depois, em Documentos e versões (RAN07).</t>
  </si>
  <si>
    <t>D03</t>
  </si>
  <si>
    <t>Fonte acadêmica</t>
  </si>
  <si>
    <t>Qual fonte valida matrícula? Como tratar indisponibilidade e exceções?</t>
  </si>
  <si>
    <t>O aluno só submete o cadastro se estiver incluído em uma turma pela coordenação com situação "Matriculado" (RN05, RBN08.03).</t>
  </si>
  <si>
    <t>D04</t>
  </si>
  <si>
    <t>Situações acadêmicas</t>
  </si>
  <si>
    <t>Quais estados, transições, perfis de decisão e regras de reabertura serão adotados?</t>
  </si>
  <si>
    <t>RAN04, RN10</t>
  </si>
  <si>
    <t>Situações: rascunho, em análise, aprovado, devolvido para correção, reprovado e desistência (RN10). A decisão é do coordenador (RN06). Devolução, reprovação e resultado da defesa são situações separadas.</t>
  </si>
  <si>
    <t>D05</t>
  </si>
  <si>
    <t>Orientação</t>
  </si>
  <si>
    <t>Existe aceite? Coorientador externo é permitido? Quem autoriza substituição?</t>
  </si>
  <si>
    <t>RAN06, RN16</t>
  </si>
  <si>
    <t>O orientador aceita ou recusa a solicitação (RBN06.03). Coorientador externo é permitido, com conta de acesso limitada (RBN01.13). A troca de orientador preserva o histórico (RN16).</t>
  </si>
  <si>
    <t>D06</t>
  </si>
  <si>
    <t>Qual mínimo e quais papéis? Orientador/coorientador conta no mínimo? Há suplentes?</t>
  </si>
  <si>
    <t>RBN09.01, RBN09.02, RN12</t>
  </si>
  <si>
    <t>A banca tem 2 avaliadores, o orientador (obrigatório), o coorientador (opcional) e o suplente (opcional) (RBN09.01, RN12). Orientador, coorientador e suplente não contam como avaliadores (RBN09.02).</t>
  </si>
  <si>
    <t>D07</t>
  </si>
  <si>
    <t>Agendamento</t>
  </si>
  <si>
    <t>Quem agenda? Quais condições bloqueiam? Como tratar conflito, ausência e remarcação?</t>
  </si>
  <si>
    <t>RBN09.03, RBN09.04, RBN09.07, RBN09.08, RN14</t>
  </si>
  <si>
    <t>Agenda o orientador ou o professor da disciplina, conforme o curso (RN14). O sistema bloqueia sobreposição de horário para o mesmo membro ou local (RBN09.04). Remarcar e cancelar exigem motivo (RBN09.07, RBN09.08).</t>
  </si>
  <si>
    <t>D08</t>
  </si>
  <si>
    <t>Avaliação</t>
  </si>
  <si>
    <t>Qual escala, precisão, cálculo, pesos, quórum e classificação do resultado?</t>
  </si>
  <si>
    <t>RBN09.11, RBN10.01 a RBN10.05, RN13</t>
  </si>
  <si>
    <t>Cada critério tem nota de 0 a 10, ponderada pelo peso (RBN10.04). A nota final é a média dos dois avaliadores e do orientador (RBN09.11). O resultado é confirmado pelo orientador (RBN09.12).</t>
  </si>
  <si>
    <t>D09</t>
  </si>
  <si>
    <t>Documentação</t>
  </si>
  <si>
    <t>Quais modelos de ata/certificado, signatários e regras de retificação?</t>
  </si>
  <si>
    <t>RBN09.14 a RBN09.17, RN15</t>
  </si>
  <si>
    <t>Ata e Folha de Aprovação seguem o modelo institucional (RBN09.14, RBN09.15). Retificação gera nova versão e a anterior fica como substituída (RN15). Assinatura digital não faz parte desta versão.</t>
  </si>
  <si>
    <t>D10</t>
  </si>
  <si>
    <t>Correções finais</t>
  </si>
  <si>
    <t>Qual prazo, responsável pela aprovação das correções e condição de encerramento?</t>
  </si>
  <si>
    <t>RAN11, RN17</t>
  </si>
  <si>
    <t>O prazo é a data limite da versão final do calendário do período (RBN11.01). O professor responsável pela turma aprova as correções (RBN11.03). O TCC é concluído quando as condições do RBN11.04 estiverem satisfeitas.</t>
  </si>
  <si>
    <t>D11</t>
  </si>
  <si>
    <t>Divulgação</t>
  </si>
  <si>
    <t>Quem publica? Qual público, quais campos e como exibir cancelamentos?</t>
  </si>
  <si>
    <t>RAN14, RN08, RN09</t>
  </si>
  <si>
    <t>A coordenação publica a agenda (RBN14.01), com título, autores, orientador e local ou link. PDF, matrícula, contatos e notas não aparecem (RN08). Defesa cancelada é retirada da agenda (RBN14.04).</t>
  </si>
  <si>
    <t>D12</t>
  </si>
  <si>
    <t>Qualidade e mensagens</t>
  </si>
  <si>
    <t>Quais limites de PDF, carga para 3/5 segundos e antecedência de e-mails?</t>
  </si>
  <si>
    <t>RNF01, RNF05, RN11, RBN09.06</t>
  </si>
  <si>
    <t>PDF de até 20 MB (RN11). Cadastro em até 3 segundos (RNF01). Ata em até 5 segundos (RNF05). Lembrete enviado 1 dia antes da defesa (RBN09.06).</t>
  </si>
  <si>
    <t>D13</t>
  </si>
  <si>
    <t>Quais componentes, critérios, pesos e faixas valem oficialmente? Os pesos variam por curso ou etapa?</t>
  </si>
  <si>
    <t>RAN10, RN19</t>
  </si>
  <si>
    <t>O instrumento tem parte escrita (7,0 pontos) e parte oral (3,0 pontos), com critérios, pesos e três conceitos (RBN10.01). É o mesmo para todos os cursos e etapas e é versionado (RN19).</t>
  </si>
  <si>
    <t>D14</t>
  </si>
  <si>
    <t>Nota final e Qualis</t>
  </si>
  <si>
    <t>A regra do maior valor entre 6,0 e a média dos avaliadores para artigo Qualis A/B está confirmada? Em que casos a nota do orientador entra no cálculo?</t>
  </si>
  <si>
    <t>RBN09.11, RN21</t>
  </si>
  <si>
    <t>Artigo aceito ou publicado em Qualis A ou B: a nota final é o maior valor entre 6,0 e a média (RN21). A nota do orientador entra na média (RBN09.11).</t>
  </si>
  <si>
    <t>D15</t>
  </si>
  <si>
    <t>Suplente é obrigatório em toda banca? Quem convoca e em que prazo?</t>
  </si>
  <si>
    <t>RBN09.09, RN20</t>
  </si>
  <si>
    <t>O suplente é opcional. O orientador ou o coordenador o convoca, informando motivo e data (RBN09.09). O suplente só conta depois de convocado (RN20).</t>
  </si>
  <si>
    <t>D16</t>
  </si>
  <si>
    <t>Duração e ocorrências</t>
  </si>
  <si>
    <t>15/20 minutos são regra fixa por etapa? Quem registra ocorrências e frequência, e qual o destino da declaração de horas complementares?</t>
  </si>
  <si>
    <t>RBN09.10, RN22, RN23</t>
  </si>
  <si>
    <t>Defesa de TCC1: 15 minutos; TCC2: 20 minutos, sem impedir defesa mais longa (RN22). O orientador ou o coordenador registra ocorrências e ouvintes (RBN09.10). A lista de ouvintes gera a declaração de horas complementares (RN23).</t>
  </si>
  <si>
    <t>D17</t>
  </si>
  <si>
    <t>Turmas</t>
  </si>
  <si>
    <t>Turma é pré-requisito para cadastro de TCC? O professor da turma substitui a Coordenador(a) na análise ou atua em conjunto com ela?</t>
  </si>
  <si>
    <t>RAN08, RN24</t>
  </si>
  <si>
    <t>O coordenador inclui o aluno na turma (RBN08.02). O professor responsável pela turma acompanha só os alunos dela (RN24). A aprovação do cadastro continua com o coordenador (RN06).</t>
  </si>
  <si>
    <t>Fonte ou revisão</t>
  </si>
  <si>
    <t>Identificadores e conteúdo</t>
  </si>
  <si>
    <t>Tratamento na versão 2.0</t>
  </si>
  <si>
    <t>Matriz SIGA v1.0</t>
  </si>
  <si>
    <t>32 RBN originais</t>
  </si>
  <si>
    <t>Descrições refinadas e novos comportamentos incluídos.</t>
  </si>
  <si>
    <t>Novas capacidades</t>
  </si>
  <si>
    <t>RAN06, RAN07, RAN08, RAN10, RAN11 e RAN14</t>
  </si>
  <si>
    <t>Orientação, documentos e versões, turmas, instrumento de avaliação, correções e encerramento, e agenda de apresentações.</t>
  </si>
  <si>
    <t>Requisitos.xlsx, aba TCC</t>
  </si>
  <si>
    <t>Campos de identificação, informações editoriais, resumo e PDF</t>
  </si>
  <si>
    <t>Usado como referência de conteúdo: RBN03.01 (identificação e resumo), RBN03.02 (informações editoriais) e RAN07 (PDF).</t>
  </si>
  <si>
    <t>Requisitos.xlsx, abas TCC/DEFESA</t>
  </si>
  <si>
    <t>Requisitos de TCC e de defesa</t>
  </si>
  <si>
    <t>Usado como referência de conteúdo. A matriz usa IDs únicos, com a decomposição RANxx/RBNxx.yy.</t>
  </si>
  <si>
    <t>Requisitos.xlsx, Página1/DEFESA</t>
  </si>
  <si>
    <t>Limite de 20 MB, escala 0–10 e antecedência dos lembretes</t>
  </si>
  <si>
    <t>Adotados como regra: 20 MB (RN11), nota de 0 a 10 (RN13) e lembrete 1 dia antes (RBN09.06). A banca tem 2 avaliadores e o orientador (RN12).</t>
  </si>
  <si>
    <t>A agenda de apresentações substitui os banners com IA; a geração de resumo acadêmico por IA fica fora do escopo.</t>
  </si>
  <si>
    <t>Numeração sequencial (esta revisão)</t>
  </si>
  <si>
    <t>RAN01 a RAN14 e RBN01.01 a RBN14.04 (87 RBN)</t>
  </si>
  <si>
    <t>RAN e RBN numerados em ordem na Matriz, sem lacunas e sem referência a um requisito definido depois dentro do mesmo RAN.</t>
  </si>
  <si>
    <t>Marco</t>
  </si>
  <si>
    <t>Tipo</t>
  </si>
  <si>
    <t>Data / Descrição</t>
  </si>
  <si>
    <t>Abertura do projeto</t>
  </si>
  <si>
    <t>Início</t>
  </si>
  <si>
    <t>18/09/2026: emissão do plano; início da execução: 24/09/2026.</t>
  </si>
  <si>
    <t>Marco de integração 1</t>
  </si>
  <si>
    <t>14/10/2026 – banco + módulo de usuários + contrato de API integrados na branch principal.</t>
  </si>
  <si>
    <t>21/10/2026 – cadastro de TCC de ponta a ponta (tela → API → banco → protocolo) em ambiente integrado.</t>
  </si>
  <si>
    <t>04/11/2026 – análise do cadastro pelo coordenador e e-mail ao orientador integrados.</t>
  </si>
  <si>
    <t>02/12/2026 – gestão da defesa, publicação, dashboard e agenda integrados; ideias e interação conforme planejamento da versão.</t>
  </si>
  <si>
    <t>Entregas parciais da disciplina</t>
  </si>
  <si>
    <t>Fim de Release</t>
  </si>
  <si>
    <t>TP1: 30/09/2026; TP2: 21/10/2026; TP3: 18/11/2026; TP4: 09/12/2026.</t>
  </si>
  <si>
    <t>Entrega final</t>
  </si>
  <si>
    <t>Fim de Release Final</t>
  </si>
  <si>
    <t>09/12/2026: TP4. Verificação interna e retorno de 02 a 08/12 (5 dias úteis), com fechamento em 09/12; aceite formal depende dos interessados.</t>
  </si>
  <si>
    <t>Item</t>
  </si>
  <si>
    <t>MESES</t>
  </si>
  <si>
    <t>set-26</t>
  </si>
  <si>
    <t>out-26</t>
  </si>
  <si>
    <t>nov-26</t>
  </si>
  <si>
    <t>dez-26</t>
  </si>
  <si>
    <t>1</t>
  </si>
  <si>
    <t>Gestão e Coordenador(a) do Projeto</t>
  </si>
  <si>
    <t>X</t>
  </si>
  <si>
    <t>1.1</t>
  </si>
  <si>
    <t>Planejamento do Projeto e Governança</t>
  </si>
  <si>
    <t>Igor M.</t>
  </si>
  <si>
    <t>1.1.1</t>
  </si>
  <si>
    <t xml:space="preserve">    Definição do escopo, módulos e critérios de aceite (Plano de Integração)</t>
  </si>
  <si>
    <t>1.1.2</t>
  </si>
  <si>
    <t xml:space="preserve">    Definição de critérios de qualidade e conformidade (LGPD, RNF02)</t>
  </si>
  <si>
    <t>1.1.3</t>
  </si>
  <si>
    <t xml:space="preserve">    Definição do cronograma, dependências e marcos de integração</t>
  </si>
  <si>
    <t>1.1.4</t>
  </si>
  <si>
    <t xml:space="preserve">    Organização da equipe, papéis Scrum e matriz RACI</t>
  </si>
  <si>
    <t>1.2</t>
  </si>
  <si>
    <t>Gestão Ágil (Scrum Master)</t>
  </si>
  <si>
    <t>1.2.1</t>
  </si>
  <si>
    <t xml:space="preserve">    Organização e priorização do Product Backlog (MoSCoW)</t>
  </si>
  <si>
    <t>1.2.2</t>
  </si>
  <si>
    <t xml:space="preserve">    Planning (Planning Poker), Sprint Review e Retrospective</t>
  </si>
  <si>
    <t>1.2.3</t>
  </si>
  <si>
    <t xml:space="preserve">    Mediação entre frentes (banco × backend × frontend)</t>
  </si>
  <si>
    <t>1.2.4</t>
  </si>
  <si>
    <t xml:space="preserve">    Mediação com a professora e a Coordenador(a) do NUCOMP</t>
  </si>
  <si>
    <t>1.2.5</t>
  </si>
  <si>
    <t xml:space="preserve">    Gestão de riscos técnicos e estratégias de mitigação</t>
  </si>
  <si>
    <t>1.2.6</t>
  </si>
  <si>
    <t xml:space="preserve">    Monitoramento do cronograma e do escopo</t>
  </si>
  <si>
    <t>1.2.6.1</t>
  </si>
  <si>
    <t xml:space="preserve">        ENTREGÁVEL — Repositório GitHub e Trello configurados e distribuídos</t>
  </si>
  <si>
    <t>1.3</t>
  </si>
  <si>
    <t>Gestão da Qualidade e Integração</t>
  </si>
  <si>
    <t>1.3.1</t>
  </si>
  <si>
    <t xml:space="preserve">    Revisão por pares e controle de versão (pull request)</t>
  </si>
  <si>
    <t>Toda a equipe</t>
  </si>
  <si>
    <t>1.3.2</t>
  </si>
  <si>
    <t xml:space="preserve">    Testes de integração por funcionalidade (TI-01 a TI-12)</t>
  </si>
  <si>
    <t>1.4</t>
  </si>
  <si>
    <t>Gestão e Consolidação das Entregas</t>
  </si>
  <si>
    <t>1.4.1</t>
  </si>
  <si>
    <t xml:space="preserve">    Sprint Review e status a cada entrega parcial</t>
  </si>
  <si>
    <t>1.4.2</t>
  </si>
  <si>
    <t xml:space="preserve">    Organização dos produtos (código, documentação, testes)</t>
  </si>
  <si>
    <t>1.4.3</t>
  </si>
  <si>
    <t xml:space="preserve">    Elaboração de relatórios de status (TP1 a TP4)</t>
  </si>
  <si>
    <t>1.4.3.1</t>
  </si>
  <si>
    <t xml:space="preserve">        ENTREGÁVEL — TP1: plano de Integração, matriz de requisitos e EAP (30/09) - DIANA</t>
  </si>
  <si>
    <t>Equipe</t>
  </si>
  <si>
    <t>1.4.3.2</t>
  </si>
  <si>
    <t xml:space="preserve">        ENTREGÁVEL — TP2: módulo de usuários e cadastro integrados (21/10)</t>
  </si>
  <si>
    <t>1.4.3.3</t>
  </si>
  <si>
    <t xml:space="preserve">        ENTREGÁVEL — TP3: defesa, publicação e dashboard integrados (18/11)</t>
  </si>
  <si>
    <t>1.5</t>
  </si>
  <si>
    <t>Avaliação e Encerramento do Projeto</t>
  </si>
  <si>
    <t>1.5.1</t>
  </si>
  <si>
    <t xml:space="preserve">    Testes de homologação e aceite com a Coordenador(a)</t>
  </si>
  <si>
    <t>1.5.2</t>
  </si>
  <si>
    <t xml:space="preserve">    Consolidação de resultados e lições aprendidas</t>
  </si>
  <si>
    <t>1.5.3</t>
  </si>
  <si>
    <t xml:space="preserve">    Termo de entrega e encerramento</t>
  </si>
  <si>
    <t>1.5.3.1</t>
  </si>
  <si>
    <t xml:space="preserve">        ENTREGÁVEL — TP4: entrega final e homologação (09/12) - DIANA</t>
  </si>
  <si>
    <t>2</t>
  </si>
  <si>
    <t>Levantamento de Requisitos e Modelagem</t>
  </si>
  <si>
    <t>2.1</t>
  </si>
  <si>
    <t>Levantamento de Requisitos</t>
  </si>
  <si>
    <t>2.1.1</t>
  </si>
  <si>
    <t xml:space="preserve">    Entrevistas com stakeholders (Coordenador(a), professores)</t>
  </si>
  <si>
    <t>2.1.2</t>
  </si>
  <si>
    <t xml:space="preserve">    Elicitação e matriz de requisitos (RAN, RBN, RN, RNF)</t>
  </si>
  <si>
    <t>2.1.3</t>
  </si>
  <si>
    <t xml:space="preserve">    Registro das decisões de requisitos (aba Validaçäo)</t>
  </si>
  <si>
    <t>2.2</t>
  </si>
  <si>
    <t>Modelagem Técnica</t>
  </si>
  <si>
    <t>2.2.1</t>
  </si>
  <si>
    <t xml:space="preserve">    Modelo de dados e esquema PostgreSQL (A1)</t>
  </si>
  <si>
    <t>2.2.2</t>
  </si>
  <si>
    <t xml:space="preserve">    Contrato de API — rotas, formatos, erros (A2)</t>
  </si>
  <si>
    <t>2.2.2.1</t>
  </si>
  <si>
    <t xml:space="preserve">        ENTREGÁVEL — Esquema de banco e contrato de API aprovados (07/10)</t>
  </si>
  <si>
    <t>3</t>
  </si>
  <si>
    <t>Módulo de Usuários e Acesso (MOD01)</t>
  </si>
  <si>
    <t>3.1</t>
  </si>
  <si>
    <t>Backend de autenticação e perfis (RAN01)</t>
  </si>
  <si>
    <t>3.2</t>
  </si>
  <si>
    <t>Frontend de login e perfis</t>
  </si>
  <si>
    <t>Igor L.</t>
  </si>
  <si>
    <t>3.2.1</t>
  </si>
  <si>
    <t xml:space="preserve">    ENTREGÁVEL — Marco de integração 1: banco + usuários + API (14/10)</t>
  </si>
  <si>
    <t>4</t>
  </si>
  <si>
    <t>Gestão e Acompanhamento de TCCs (MOD03)</t>
  </si>
  <si>
    <t>4.1</t>
  </si>
  <si>
    <t>API de cadastro de TCC (A3, RAN03)</t>
  </si>
  <si>
    <t>4.2</t>
  </si>
  <si>
    <t>Tela de cadastro de TCC (A4)</t>
  </si>
  <si>
    <t>4.3</t>
  </si>
  <si>
    <t>Inclusão e situação do aluno na turma (A5, RAN08)</t>
  </si>
  <si>
    <t>4.4</t>
  </si>
  <si>
    <t>Notificação por e-mail ao orientador (A6, RBN03.06)</t>
  </si>
  <si>
    <t>4.5</t>
  </si>
  <si>
    <t>Análise do cadastro pelo coordenador (A7, RAN04)</t>
  </si>
  <si>
    <t>4.5.1</t>
  </si>
  <si>
    <t xml:space="preserve">    ENTREGÁVEL — Marco de integração 2: cadastro ponta a ponta (21/10)</t>
  </si>
  <si>
    <t>4.6</t>
  </si>
  <si>
    <t>Acompanhamento dos TCCs (A11, RAN05)</t>
  </si>
  <si>
    <t>4.6.1</t>
  </si>
  <si>
    <t xml:space="preserve">    ENTREGÁVEL — Marco de integração 3: análise do cadastro e e-mail (04/11)</t>
  </si>
  <si>
    <t>5</t>
  </si>
  <si>
    <t>Gestão da Defesa e Publicação (MOD04, MOD05)</t>
  </si>
  <si>
    <t>5.1</t>
  </si>
  <si>
    <t>Composição de banca e agendamento (RAN09)</t>
  </si>
  <si>
    <t>5.2</t>
  </si>
  <si>
    <t>Instrumento de avaliação ponderado (RAN10)</t>
  </si>
  <si>
    <t>5.3</t>
  </si>
  <si>
    <t>Ata, Folha de Aprovação e ocorrências (RBN09.10, RBN09.14 a RBN09.16)</t>
  </si>
  <si>
    <t>5.4</t>
  </si>
  <si>
    <t>Gestão da publicação — situação editorial (A14, RAN12)</t>
  </si>
  <si>
    <t>6</t>
  </si>
  <si>
    <t>Dashboard, Agenda e Interação (MOD02, MOD06, MOD07)</t>
  </si>
  <si>
    <t>6.1</t>
  </si>
  <si>
    <t>Dashboard gerencial (A8, RAN13)</t>
  </si>
  <si>
    <t>6.2</t>
  </si>
  <si>
    <t>Agenda e divulgação de apresentações (A9, RAN14)</t>
  </si>
  <si>
    <t>6.3</t>
  </si>
  <si>
    <t>Ideias e interação, com moderação (A12, RAN02)</t>
  </si>
  <si>
    <t>6.3.1</t>
  </si>
  <si>
    <t xml:space="preserve">    ENTREGÁVEL — Marco de integração 4: defesa, publicação, dashboard e agenda (02/12)</t>
  </si>
  <si>
    <t>7</t>
  </si>
  <si>
    <t>Implantação, Testes e Encerramento</t>
  </si>
  <si>
    <t>7.1</t>
  </si>
  <si>
    <t>Implantação em hospedagem (A10)</t>
  </si>
  <si>
    <t>7.2</t>
  </si>
  <si>
    <t>Testes de integração de sistema e homologação</t>
  </si>
  <si>
    <t>7.3</t>
  </si>
  <si>
    <t>Documentação técnica (API, modelo de dados, instrumento)</t>
  </si>
  <si>
    <t>7.3.1</t>
  </si>
  <si>
    <t xml:space="preserve">    ENTREGÁVEL — Entrega final e homologação (TP4, 09/12) - DIANA</t>
  </si>
  <si>
    <t>Estimativa</t>
  </si>
  <si>
    <t>Observação</t>
  </si>
  <si>
    <t>Desenvolvimento (horas totais × valor/hora simbólico)</t>
  </si>
  <si>
    <t>440 h × R$ 30/h = R$ 13.200,00 (inclui 88 h de reserva)</t>
  </si>
  <si>
    <t>352 h planejadas (R$ 10.560,00) e 88 h de reserva (R$ 2.640,00).</t>
  </si>
  <si>
    <t>Hospedagem e infraestrutura</t>
  </si>
  <si>
    <t>R$ 80/mês × 3 meses = R$ 240,00</t>
  </si>
  <si>
    <t>Perfil estimado de servidor: 2 vCPU, 4 GB RAM e 20 GB; fornecedor a cotar, sem preço contratado.</t>
  </si>
  <si>
    <t>Serviço de envio de e-mail (RBN03.06)</t>
  </si>
  <si>
    <t>R$ 20/mês × 3 meses = R$ 60,00</t>
  </si>
  <si>
    <t>Estimativa para até 1.000 mensagens/mês, sem fornecedor contratado.</t>
  </si>
  <si>
    <t>Ferramentas de gestão e controle de versão (Trello, Git)</t>
  </si>
  <si>
    <t>R$ 0,00; pressuposto de planos gratuitos para 5 pessoas</t>
  </si>
  <si>
    <t>Repositório e tarefas em plano gratuito.</t>
  </si>
  <si>
    <t>Reserva de infraestrutura (20%)</t>
  </si>
  <si>
    <t>R$ 60,00</t>
  </si>
  <si>
    <t>20% sobre R$ 300,00; não se aplica novamente à mão de obra.</t>
  </si>
  <si>
    <t>Total estimado (simbólico)</t>
  </si>
  <si>
    <t>R$ 13.560,00 (simbólico)</t>
  </si>
  <si>
    <t>Mão de obra simbólica + R$ 360,00 de infraestrutura com reserva. Não há contratação ou pagamento confirmado.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</si>
</sst>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b/>
      <sz val="11.0"/>
      <color rgb="FF203B5B"/>
      <name val="Arial"/>
    </font>
    <font>
      <sz val="11.0"/>
      <color rgb="FF233044"/>
      <name val="Arial"/>
    </font>
    <font/>
    <font>
      <sz val="11.0"/>
      <color rgb="FF203B5B"/>
      <name val="Arial"/>
    </font>
    <font>
      <b/>
      <sz val="11.0"/>
      <color rgb="FF000000"/>
      <name val="Arial"/>
    </font>
    <font>
      <color theme="1"/>
      <name val="Arial"/>
    </font>
    <font>
      <sz val="11.0"/>
      <color theme="1"/>
      <name val="Arial"/>
    </font>
    <font>
      <sz val="11.0"/>
      <color rgb="FFFF0000"/>
      <name val="Arial"/>
    </font>
    <font>
      <b/>
      <color rgb="FFFFFFFF"/>
      <name val="Arial"/>
    </font>
    <font>
      <sz val="11.0"/>
      <color theme="1"/>
      <name val="Carlito"/>
    </font>
    <font>
      <b/>
      <color theme="1"/>
      <name val="Arial"/>
    </font>
    <font>
      <b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03B5B"/>
        <bgColor rgb="FF203B5B"/>
      </patternFill>
    </fill>
    <fill>
      <patternFill patternType="solid">
        <fgColor rgb="FFDCE7F1"/>
        <bgColor rgb="FFDCE7F1"/>
      </patternFill>
    </fill>
    <fill>
      <patternFill patternType="solid">
        <fgColor rgb="FFFFFFFF"/>
        <bgColor rgb="FFFFFFFF"/>
      </patternFill>
    </fill>
    <fill>
      <patternFill patternType="solid">
        <fgColor rgb="FFEFF5FA"/>
        <bgColor rgb="FFEFF5FA"/>
      </patternFill>
    </fill>
    <fill>
      <patternFill patternType="solid">
        <fgColor rgb="FFC1E4F5"/>
        <bgColor rgb="FFC1E4F5"/>
      </patternFill>
    </fill>
    <fill>
      <patternFill patternType="solid">
        <fgColor rgb="FF538135"/>
        <bgColor rgb="FF538135"/>
      </patternFill>
    </fill>
    <fill>
      <patternFill patternType="solid">
        <fgColor rgb="FFA9D18E"/>
        <bgColor rgb="FFA9D18E"/>
      </patternFill>
    </fill>
    <fill>
      <patternFill patternType="solid">
        <fgColor rgb="FFF2F2F2"/>
        <bgColor rgb="FFF2F2F2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9CAFC1"/>
      </top>
    </border>
    <border>
      <right style="medium">
        <color rgb="FF000000"/>
      </right>
      <top style="thin">
        <color rgb="FF9CAFC1"/>
      </top>
    </border>
    <border>
      <right style="thin">
        <color rgb="FF9CAFC1"/>
      </right>
      <bottom style="thin">
        <color rgb="FF9CAFC1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000000"/>
      </right>
      <top style="thin">
        <color rgb="FFD9D9D9"/>
      </top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0" fillId="4" fontId="3" numFmtId="0" xfId="0" applyAlignment="1" applyFill="1" applyFont="1">
      <alignment horizontal="center" shrinkToFit="0" vertical="center" wrapText="1"/>
    </xf>
    <xf borderId="0" fillId="4" fontId="3" numFmtId="0" xfId="0" applyAlignment="1" applyFill="1" applyFont="1">
      <alignment horizontal="left" shrinkToFit="0" vertical="center" wrapText="1"/>
    </xf>
    <xf borderId="0" fillId="4" fontId="4" numFmtId="0" xfId="0" applyAlignment="1" applyFill="1" applyFont="1">
      <alignment horizontal="left" readingOrder="0"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4" fontId="4" numFmtId="0" xfId="0" applyAlignment="1" applyFill="1" applyFont="1">
      <alignment horizontal="left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4" fillId="0" fontId="5" numFmtId="0" xfId="0" applyBorder="1" applyFont="1"/>
    <xf borderId="0" fillId="4" fontId="3" numFmtId="0" xfId="0" applyAlignment="1" applyFill="1" applyFont="1">
      <alignment horizontal="left" readingOrder="0" shrinkToFit="0" vertical="center" wrapText="1"/>
    </xf>
    <xf borderId="0" fillId="4" fontId="6" numFmtId="0" xfId="0" applyAlignment="1" applyFill="1" applyFont="1">
      <alignment horizontal="left" shrinkToFit="0" vertical="center" wrapText="1"/>
    </xf>
    <xf borderId="6" fillId="0" fontId="5" numFmtId="0" xfId="0" applyBorder="1" applyFont="1"/>
    <xf borderId="7" fillId="0" fontId="5" numFmtId="0" xfId="0" applyBorder="1" applyFont="1"/>
    <xf borderId="7" fillId="4" fontId="3" numFmtId="0" xfId="0" applyAlignment="1" applyBorder="1" applyFill="1" applyFont="1">
      <alignment horizontal="left" shrinkToFit="0" vertical="center" wrapText="1"/>
    </xf>
    <xf borderId="7" fillId="4" fontId="4" numFmtId="0" xfId="0" applyAlignment="1" applyBorder="1" applyFill="1" applyFont="1">
      <alignment horizontal="left" shrinkToFit="0" vertical="center" wrapText="1"/>
    </xf>
    <xf borderId="7" fillId="4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ill="1" applyFont="1">
      <alignment horizontal="center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0" fillId="5" fontId="3" numFmtId="0" xfId="0" applyAlignment="1" applyFill="1" applyFont="1">
      <alignment horizontal="left" shrinkToFit="0" vertical="center" wrapText="1"/>
    </xf>
    <xf borderId="0" fillId="5" fontId="4" numFmtId="0" xfId="0" applyAlignment="1" applyFill="1" applyFont="1">
      <alignment horizontal="left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5" fillId="5" fontId="4" numFmtId="0" xfId="0" applyAlignment="1" applyBorder="1" applyFill="1" applyFont="1">
      <alignment horizontal="left" shrinkToFit="0" vertical="center" wrapText="1"/>
    </xf>
    <xf borderId="0" fillId="5" fontId="3" numFmtId="0" xfId="0" applyAlignment="1" applyFill="1" applyFont="1">
      <alignment horizontal="left" readingOrder="0" shrinkToFit="0" vertical="center" wrapText="1"/>
    </xf>
    <xf borderId="7" fillId="5" fontId="3" numFmtId="0" xfId="0" applyAlignment="1" applyBorder="1" applyFill="1" applyFont="1">
      <alignment horizontal="left" shrinkToFit="0" vertical="center" wrapText="1"/>
    </xf>
    <xf borderId="7" fillId="5" fontId="4" numFmtId="0" xfId="0" applyAlignment="1" applyBorder="1" applyFill="1" applyFont="1">
      <alignment horizontal="left" shrinkToFit="0" vertical="center" wrapText="1"/>
    </xf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ill="1" applyFont="1">
      <alignment horizontal="left" shrinkToFit="0" vertical="center" wrapText="1"/>
    </xf>
    <xf borderId="9" fillId="5" fontId="3" numFmtId="0" xfId="0" applyAlignment="1" applyBorder="1" applyFill="1" applyFont="1">
      <alignment horizontal="center" shrinkToFit="0" vertical="center" wrapText="1"/>
    </xf>
    <xf borderId="9" fillId="5" fontId="3" numFmtId="0" xfId="0" applyAlignment="1" applyBorder="1" applyFill="1" applyFont="1">
      <alignment horizontal="left" readingOrder="0" shrinkToFit="0" vertical="center" wrapText="1"/>
    </xf>
    <xf borderId="9" fillId="5" fontId="3" numFmtId="0" xfId="0" applyAlignment="1" applyBorder="1" applyFill="1" applyFont="1">
      <alignment horizontal="left" shrinkToFit="0" vertical="center" wrapText="1"/>
    </xf>
    <xf borderId="9" fillId="5" fontId="4" numFmtId="0" xfId="0" applyAlignment="1" applyBorder="1" applyFill="1" applyFont="1">
      <alignment horizontal="left" shrinkToFit="0" vertical="center" wrapText="1"/>
    </xf>
    <xf borderId="9" fillId="5" fontId="4" numFmtId="0" xfId="0" applyAlignment="1" applyBorder="1" applyFill="1" applyFont="1">
      <alignment horizontal="center" shrinkToFit="0" vertical="center" wrapText="1"/>
    </xf>
    <xf borderId="10" fillId="5" fontId="4" numFmtId="0" xfId="0" applyAlignment="1" applyBorder="1" applyFill="1" applyFont="1">
      <alignment horizontal="left" shrinkToFit="0" vertical="center" wrapText="1"/>
    </xf>
    <xf borderId="9" fillId="4" fontId="3" numFmtId="0" xfId="0" applyAlignment="1" applyBorder="1" applyFill="1" applyFont="1">
      <alignment horizontal="center" shrinkToFit="0" vertical="center" wrapText="1"/>
    </xf>
    <xf borderId="9" fillId="4" fontId="3" numFmtId="0" xfId="0" applyAlignment="1" applyBorder="1" applyFill="1" applyFont="1">
      <alignment horizontal="left" shrinkToFit="0" vertical="center" wrapText="1"/>
    </xf>
    <xf borderId="9" fillId="4" fontId="4" numFmtId="0" xfId="0" applyAlignment="1" applyBorder="1" applyFill="1" applyFont="1">
      <alignment horizontal="left" shrinkToFit="0" vertical="center" wrapText="1"/>
    </xf>
    <xf borderId="9" fillId="4" fontId="4" numFmtId="0" xfId="0" applyAlignment="1" applyBorder="1" applyFill="1" applyFont="1">
      <alignment horizontal="center" shrinkToFit="0" vertical="center" wrapText="1"/>
    </xf>
    <xf borderId="10" fillId="4" fontId="4" numFmtId="0" xfId="0" applyAlignment="1" applyBorder="1" applyFill="1" applyFont="1">
      <alignment horizontal="left" shrinkToFit="0" vertical="center" wrapText="1"/>
    </xf>
    <xf borderId="0" fillId="5" fontId="4" numFmtId="0" xfId="0" applyAlignment="1" applyFill="1" applyFont="1">
      <alignment horizontal="left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9" fillId="4" fontId="4" numFmtId="0" xfId="0" applyAlignment="1" applyBorder="1" applyFill="1" applyFont="1">
      <alignment horizontal="left" readingOrder="0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left" shrinkToFit="0" vertical="center" wrapText="1"/>
    </xf>
    <xf borderId="2" fillId="4" fontId="4" numFmtId="0" xfId="0" applyAlignment="1" applyBorder="1" applyFill="1" applyFont="1">
      <alignment horizontal="left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left" readingOrder="0" shrinkToFit="0" vertical="center" wrapText="1"/>
    </xf>
    <xf borderId="2" fillId="5" fontId="4" numFmtId="0" xfId="0" applyAlignment="1" applyBorder="1" applyFill="1" applyFont="1">
      <alignment horizontal="left"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left" shrinkToFit="0" vertical="center" wrapText="1"/>
    </xf>
    <xf borderId="7" fillId="5" fontId="3" numFmtId="0" xfId="0" applyAlignment="1" applyBorder="1" applyFill="1" applyFont="1">
      <alignment horizontal="left" readingOrder="0" shrinkToFit="0" vertical="center" wrapText="1"/>
    </xf>
    <xf borderId="11" fillId="4" fontId="2" numFmtId="0" xfId="0" applyAlignment="1" applyBorder="1" applyFill="1" applyFont="1">
      <alignment horizontal="center" shrinkToFit="0" vertical="center" wrapText="1"/>
    </xf>
    <xf borderId="0" fillId="4" fontId="8" numFmtId="0" xfId="0" applyFill="1" applyFont="1"/>
    <xf borderId="0" fillId="0" fontId="2" numFmtId="0" xfId="0" applyAlignment="1" applyFont="1">
      <alignment horizontal="center" readingOrder="0" shrinkToFit="0" vertical="center" wrapText="1"/>
    </xf>
    <xf borderId="0" fillId="6" fontId="4" numFmtId="0" xfId="0" applyAlignment="1" applyFill="1" applyFont="1">
      <alignment horizontal="left" shrinkToFit="0" vertical="center" wrapText="1"/>
    </xf>
    <xf borderId="0" fillId="6" fontId="4" numFmtId="0" xfId="0" applyAlignment="1" applyFill="1" applyFont="1">
      <alignment horizontal="left" readingOrder="0" shrinkToFit="0" vertical="center" wrapText="1"/>
    </xf>
    <xf borderId="0" fillId="5" fontId="4" numFmtId="0" xfId="0" applyAlignment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12" fillId="6" fontId="4" numFmtId="0" xfId="0" applyAlignment="1" applyBorder="1" applyFill="1" applyFont="1">
      <alignment shrinkToFit="0" vertical="center" wrapText="1"/>
    </xf>
    <xf borderId="13" fillId="6" fontId="4" numFmtId="0" xfId="0" applyAlignment="1" applyBorder="1" applyFill="1" applyFont="1">
      <alignment shrinkToFit="0" vertical="center" wrapText="1"/>
    </xf>
    <xf borderId="14" fillId="6" fontId="4" numFmtId="0" xfId="0" applyAlignment="1" applyBorder="1" applyFill="1" applyFont="1">
      <alignment shrinkToFit="0" vertical="center" wrapText="1"/>
    </xf>
    <xf borderId="12" fillId="5" fontId="4" numFmtId="0" xfId="0" applyAlignment="1" applyBorder="1" applyFill="1" applyFont="1">
      <alignment shrinkToFit="0" vertical="center" wrapText="1"/>
    </xf>
    <xf borderId="13" fillId="5" fontId="4" numFmtId="0" xfId="0" applyAlignment="1" applyBorder="1" applyFill="1" applyFont="1">
      <alignment shrinkToFit="0" vertical="center" wrapText="1"/>
    </xf>
    <xf borderId="13" fillId="5" fontId="4" numFmtId="0" xfId="0" applyAlignment="1" applyBorder="1" applyFill="1" applyFont="1">
      <alignment readingOrder="0" shrinkToFit="0" vertical="center" wrapText="1"/>
    </xf>
    <xf borderId="14" fillId="5" fontId="4" numFmtId="0" xfId="0" applyAlignment="1" applyBorder="1" applyFill="1" applyFont="1">
      <alignment shrinkToFit="0" vertical="center" wrapText="1"/>
    </xf>
    <xf borderId="15" fillId="6" fontId="4" numFmtId="0" xfId="0" applyAlignment="1" applyBorder="1" applyFill="1" applyFont="1">
      <alignment shrinkToFit="0" vertical="center" wrapText="1"/>
    </xf>
    <xf borderId="16" fillId="6" fontId="4" numFmtId="0" xfId="0" applyAlignment="1" applyBorder="1" applyFill="1" applyFont="1">
      <alignment shrinkToFit="0" vertical="center" wrapText="1"/>
    </xf>
    <xf borderId="17" fillId="6" fontId="4" numFmtId="0" xfId="0" applyAlignment="1" applyBorder="1" applyFill="1" applyFont="1">
      <alignment shrinkToFit="0" vertical="center" wrapText="1"/>
    </xf>
    <xf borderId="0" fillId="5" fontId="4" numFmtId="0" xfId="0" applyAlignment="1" applyFill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2" fillId="6" fontId="4" numFmtId="0" xfId="0" applyAlignment="1" applyBorder="1" applyFill="1" applyFont="1">
      <alignment horizontal="center" shrinkToFit="0" vertical="center" wrapText="1"/>
    </xf>
    <xf borderId="13" fillId="6" fontId="4" numFmtId="0" xfId="0" applyAlignment="1" applyBorder="1" applyFill="1" applyFont="1">
      <alignment horizontal="left" shrinkToFit="0" vertical="center" wrapText="1"/>
    </xf>
    <xf borderId="14" fillId="6" fontId="4" numFmtId="0" xfId="0" applyAlignment="1" applyBorder="1" applyFill="1" applyFont="1">
      <alignment horizontal="left" shrinkToFit="0" vertical="center" wrapText="1"/>
    </xf>
    <xf borderId="12" fillId="5" fontId="4" numFmtId="0" xfId="0" applyAlignment="1" applyBorder="1" applyFill="1" applyFont="1">
      <alignment horizontal="center" shrinkToFit="0" vertical="center" wrapText="1"/>
    </xf>
    <xf borderId="13" fillId="5" fontId="4" numFmtId="0" xfId="0" applyAlignment="1" applyBorder="1" applyFill="1" applyFont="1">
      <alignment horizontal="left" shrinkToFit="0" vertical="center" wrapText="1"/>
    </xf>
    <xf borderId="14" fillId="5" fontId="4" numFmtId="0" xfId="0" applyAlignment="1" applyBorder="1" applyFill="1" applyFont="1">
      <alignment horizontal="left" shrinkToFit="0" vertical="center" wrapText="1"/>
    </xf>
    <xf borderId="13" fillId="6" fontId="4" numFmtId="0" xfId="0" applyAlignment="1" applyBorder="1" applyFill="1" applyFont="1">
      <alignment horizontal="left" readingOrder="0" shrinkToFit="0" vertical="center" wrapText="1"/>
    </xf>
    <xf borderId="13" fillId="5" fontId="4" numFmtId="0" xfId="0" applyAlignment="1" applyBorder="1" applyFill="1" applyFont="1">
      <alignment horizontal="left" readingOrder="0" shrinkToFit="0" vertical="center" wrapText="1"/>
    </xf>
    <xf borderId="15" fillId="6" fontId="4" numFmtId="0" xfId="0" applyAlignment="1" applyBorder="1" applyFill="1" applyFont="1">
      <alignment horizontal="center" shrinkToFit="0" vertical="center" wrapText="1"/>
    </xf>
    <xf borderId="16" fillId="6" fontId="4" numFmtId="0" xfId="0" applyAlignment="1" applyBorder="1" applyFill="1" applyFont="1">
      <alignment horizontal="left" shrinkToFit="0" vertical="center" wrapText="1"/>
    </xf>
    <xf borderId="17" fillId="6" fontId="4" numFmtId="0" xfId="0" applyAlignment="1" applyBorder="1" applyFill="1" applyFont="1">
      <alignment horizontal="left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vertical="center" wrapText="1"/>
    </xf>
    <xf borderId="18" fillId="5" fontId="4" numFmtId="0" xfId="0" applyAlignment="1" applyBorder="1" applyFill="1" applyFont="1">
      <alignment horizontal="center" shrinkToFit="0" vertical="center" wrapText="1"/>
    </xf>
    <xf borderId="19" fillId="5" fontId="4" numFmtId="0" xfId="0" applyAlignment="1" applyBorder="1" applyFill="1" applyFont="1">
      <alignment horizontal="left" shrinkToFit="0" vertical="center" wrapText="1"/>
    </xf>
    <xf borderId="20" fillId="5" fontId="4" numFmtId="0" xfId="0" applyAlignment="1" applyBorder="1" applyFill="1" applyFont="1">
      <alignment horizontal="left" shrinkToFit="0" vertical="center" wrapText="1"/>
    </xf>
    <xf borderId="13" fillId="6" fontId="4" numFmtId="0" xfId="0" applyAlignment="1" applyBorder="1" applyFill="1" applyFont="1">
      <alignment horizontal="center" shrinkToFit="0" vertical="center" wrapText="1"/>
    </xf>
    <xf borderId="14" fillId="6" fontId="4" numFmtId="0" xfId="0" applyAlignment="1" applyBorder="1" applyFill="1" applyFont="1">
      <alignment horizontal="center" shrinkToFit="0" vertical="center" wrapText="1"/>
    </xf>
    <xf borderId="13" fillId="5" fontId="4" numFmtId="0" xfId="0" applyAlignment="1" applyBorder="1" applyFill="1" applyFont="1">
      <alignment horizontal="center" shrinkToFit="0" vertical="center" wrapText="1"/>
    </xf>
    <xf borderId="14" fillId="5" fontId="4" numFmtId="0" xfId="0" applyAlignment="1" applyBorder="1" applyFill="1" applyFont="1">
      <alignment horizontal="center" shrinkToFit="0" vertical="center" wrapText="1"/>
    </xf>
    <xf borderId="18" fillId="6" fontId="4" numFmtId="0" xfId="0" applyAlignment="1" applyBorder="1" applyFill="1" applyFont="1">
      <alignment horizontal="center" shrinkToFit="0" vertical="center" wrapText="1"/>
    </xf>
    <xf borderId="19" fillId="6" fontId="4" numFmtId="0" xfId="0" applyAlignment="1" applyBorder="1" applyFill="1" applyFont="1">
      <alignment horizontal="center" shrinkToFit="0" vertical="center" wrapText="1"/>
    </xf>
    <xf borderId="20" fillId="6" fontId="4" numFmtId="0" xfId="0" applyAlignment="1" applyBorder="1" applyFill="1" applyFont="1">
      <alignment horizontal="center" shrinkToFit="0" vertical="center" wrapText="1"/>
    </xf>
    <xf borderId="21" fillId="6" fontId="4" numFmtId="0" xfId="0" applyAlignment="1" applyBorder="1" applyFill="1" applyFont="1">
      <alignment horizontal="center" shrinkToFit="0" vertical="center" wrapText="1"/>
    </xf>
    <xf borderId="22" fillId="6" fontId="4" numFmtId="0" xfId="0" applyAlignment="1" applyBorder="1" applyFill="1" applyFont="1">
      <alignment horizontal="left" shrinkToFit="0" vertical="center" wrapText="1"/>
    </xf>
    <xf borderId="23" fillId="6" fontId="4" numFmtId="0" xfId="0" applyAlignment="1" applyBorder="1" applyFill="1" applyFont="1">
      <alignment horizontal="left" shrinkToFit="0" vertical="center" wrapText="1"/>
    </xf>
    <xf borderId="24" fillId="5" fontId="4" numFmtId="0" xfId="0" applyAlignment="1" applyBorder="1" applyFill="1" applyFont="1">
      <alignment horizontal="center" shrinkToFit="0" vertical="center" wrapText="1"/>
    </xf>
    <xf borderId="25" fillId="5" fontId="4" numFmtId="0" xfId="0" applyAlignment="1" applyBorder="1" applyFill="1" applyFont="1">
      <alignment horizontal="left" shrinkToFit="0" vertical="center" wrapText="1"/>
    </xf>
    <xf borderId="24" fillId="0" fontId="4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left" shrinkToFit="0" vertical="center" wrapText="1"/>
    </xf>
    <xf borderId="26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left" shrinkToFit="0" vertical="center" wrapText="1"/>
    </xf>
    <xf borderId="28" fillId="0" fontId="4" numFmtId="0" xfId="0" applyAlignment="1" applyBorder="1" applyFont="1">
      <alignment horizontal="left" shrinkToFit="0" vertical="center" wrapText="1"/>
    </xf>
    <xf borderId="12" fillId="6" fontId="4" numFmtId="0" xfId="0" applyAlignment="1" applyBorder="1" applyFill="1" applyFont="1">
      <alignment horizontal="left" shrinkToFit="0" vertical="center" wrapText="1"/>
    </xf>
    <xf borderId="12" fillId="5" fontId="4" numFmtId="0" xfId="0" applyAlignment="1" applyBorder="1" applyFill="1" applyFont="1">
      <alignment horizontal="left" shrinkToFit="0" vertical="center" wrapText="1"/>
    </xf>
    <xf borderId="18" fillId="5" fontId="4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center" readingOrder="0" shrinkToFit="0" vertical="bottom" wrapText="1"/>
    </xf>
    <xf borderId="29" fillId="7" fontId="11" numFmtId="0" xfId="0" applyAlignment="1" applyBorder="1" applyFill="1" applyFont="1">
      <alignment horizontal="center" vertical="center"/>
    </xf>
    <xf borderId="30" fillId="7" fontId="11" numFmtId="0" xfId="0" applyAlignment="1" applyBorder="1" applyFill="1" applyFont="1">
      <alignment horizontal="center" vertical="center"/>
    </xf>
    <xf borderId="31" fillId="0" fontId="5" numFmtId="0" xfId="0" applyBorder="1" applyFont="1"/>
    <xf borderId="32" fillId="0" fontId="5" numFmtId="0" xfId="0" applyBorder="1" applyFont="1"/>
    <xf borderId="0" fillId="0" fontId="8" numFmtId="0" xfId="0" applyAlignment="1" applyFont="1">
      <alignment vertical="center"/>
    </xf>
    <xf borderId="0" fillId="7" fontId="12" numFmtId="0" xfId="0" applyAlignment="1" applyFill="1" applyFont="1">
      <alignment horizontal="center" vertical="center"/>
    </xf>
    <xf borderId="29" fillId="8" fontId="13" numFmtId="0" xfId="0" applyAlignment="1" applyBorder="1" applyFill="1" applyFont="1">
      <alignment horizontal="center" vertical="center"/>
    </xf>
    <xf borderId="29" fillId="8" fontId="13" numFmtId="0" xfId="0" applyAlignment="1" applyBorder="1" applyFill="1" applyFont="1">
      <alignment horizontal="center" shrinkToFit="0" vertical="center" wrapText="1"/>
    </xf>
    <xf borderId="29" fillId="8" fontId="12" numFmtId="0" xfId="0" applyAlignment="1" applyBorder="1" applyFill="1" applyFont="1">
      <alignment horizontal="center" vertical="center"/>
    </xf>
    <xf borderId="29" fillId="9" fontId="8" numFmtId="0" xfId="0" applyAlignment="1" applyBorder="1" applyFill="1" applyFont="1">
      <alignment horizontal="center" vertical="center"/>
    </xf>
    <xf borderId="29" fillId="9" fontId="8" numFmtId="0" xfId="0" applyAlignment="1" applyBorder="1" applyFill="1" applyFont="1">
      <alignment horizontal="center" shrinkToFit="0" vertical="center" wrapText="1"/>
    </xf>
    <xf borderId="29" fillId="9" fontId="13" numFmtId="0" xfId="0" applyAlignment="1" applyBorder="1" applyFill="1" applyFont="1">
      <alignment horizontal="center" vertical="center"/>
    </xf>
    <xf borderId="29" fillId="9" fontId="12" numFmtId="0" xfId="0" applyAlignment="1" applyBorder="1" applyFill="1" applyFont="1">
      <alignment horizontal="center" vertical="center"/>
    </xf>
    <xf borderId="29" fillId="4" fontId="8" numFmtId="0" xfId="0" applyAlignment="1" applyBorder="1" applyFill="1" applyFont="1">
      <alignment horizontal="center" vertical="center"/>
    </xf>
    <xf borderId="29" fillId="4" fontId="8" numFmtId="0" xfId="0" applyAlignment="1" applyBorder="1" applyFill="1" applyFont="1">
      <alignment horizontal="center" shrinkToFit="0" vertical="center" wrapText="1"/>
    </xf>
    <xf borderId="29" fillId="4" fontId="13" numFmtId="0" xfId="0" applyAlignment="1" applyBorder="1" applyFill="1" applyFont="1">
      <alignment horizontal="center" vertical="center"/>
    </xf>
    <xf borderId="29" fillId="4" fontId="12" numFmtId="0" xfId="0" applyAlignment="1" applyBorder="1" applyFill="1" applyFont="1">
      <alignment horizontal="center" vertical="center"/>
    </xf>
    <xf borderId="29" fillId="9" fontId="14" numFmtId="0" xfId="0" applyAlignment="1" applyBorder="1" applyFill="1" applyFont="1">
      <alignment horizontal="center" vertical="center"/>
    </xf>
    <xf borderId="29" fillId="9" fontId="14" numFmtId="0" xfId="0" applyAlignment="1" applyBorder="1" applyFill="1" applyFont="1">
      <alignment horizontal="center" shrinkToFit="0" vertical="center" wrapText="1"/>
    </xf>
    <xf borderId="29" fillId="4" fontId="14" numFmtId="0" xfId="0" applyAlignment="1" applyBorder="1" applyFill="1" applyFont="1">
      <alignment horizontal="center" vertical="center"/>
    </xf>
    <xf borderId="29" fillId="4" fontId="14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0">
    <tableStyle count="4" pivot="0" name="Flux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l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N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streabil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idaçä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stóri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onogra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imativa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uel Ogino" id="{917f7c6d-fee3-4535-b8e8-ab855de0abb0}" providerId="google-sheets"/>
  <x18tc:person displayName="Author" id="{c684db28-87cc-4fa5-8891-2df22267b672}" providerId="google-sheets"/>
  <x18tc:person displayName="IGOR LEITE DE ALMEIDA" id="{5b7b75fc-035e-4f3c-aa3b-9e26590d9d7f}" providerId="google-sheets"/>
  <x18tc:person displayName="MATHEUS MAIA BRAGA" id="{59e7f551-1bf6-45e3-aeab-1a132659d756}" providerId="google-sheets"/>
  <x18tc:person displayName="MATHEUS MAIA BRAGA" id="{21181341-9993-42b0-bb2b-cd6de6314388}" providerId="google-sheets"/>
  <x18tc:person displayName="Igor Meireles" id="{b3b17719-9837-44b3-adf0-0ab8a98c9ecb}" providerId="google-sheets"/>
  <x18tc:person displayName="IGOR MEIRELES DE LIMA TAVEIRA" id="{21c8c71c-028a-4066-aaab-da5fe6e1cd54}" providerId="google-sheets"/>
</x18tc:personList>
</file>

<file path=xl/tables/table1.xml><?xml version="1.0" encoding="utf-8"?>
<table xmlns="http://schemas.openxmlformats.org/spreadsheetml/2006/main" ref="A1:H11" displayName="Tabela_1" name="Tabela_1" id="1">
  <tableColumns count="8">
    <tableColumn name="Fluxo" id="1"/>
    <tableColumn name="Objetivo" id="2"/>
    <tableColumn name="Participantes" id="3"/>
    <tableColumn name="Caminho principal" id="4"/>
    <tableColumn name="Exceções e alternativas" id="5"/>
    <tableColumn name="Exemplo concreto" id="6"/>
    <tableColumn name="Requisitos envolvidos" id="7"/>
    <tableColumn name="Telas" id="8"/>
  </tableColumns>
  <tableStyleInfo name="Fluxos-style" showColumnStripes="0" showFirstColumn="1" showLastColumn="1" showRowStripes="1"/>
</table>
</file>

<file path=xl/tables/table2.xml><?xml version="1.0" encoding="utf-8"?>
<table xmlns="http://schemas.openxmlformats.org/spreadsheetml/2006/main" ref="A1:C21" displayName="Tabela_2" name="Tabela_2" id="2">
  <tableColumns count="3">
    <tableColumn name="Tela" id="1"/>
    <tableColumn name="Nome" id="2"/>
    <tableColumn name="Conteúdo e ações" id="3"/>
  </tableColumns>
  <tableStyleInfo name="Telas-style" showColumnStripes="0" showFirstColumn="1" showLastColumn="1" showRowStripes="1"/>
</table>
</file>

<file path=xl/tables/table3.xml><?xml version="1.0" encoding="utf-8"?>
<table xmlns="http://schemas.openxmlformats.org/spreadsheetml/2006/main" ref="A1:D15" displayName="CatalogoRAN" name="CatalogoRAN" id="3">
  <tableColumns count="4">
    <tableColumn name="RAN" id="1"/>
    <tableColumn name="Nome" id="2"/>
    <tableColumn name="Requisito de alto nível" id="3"/>
    <tableColumn name="Módulo" id="4"/>
  </tableColumns>
  <tableStyleInfo name="RAN-style" showColumnStripes="0" showFirstColumn="1" showLastColumn="1" showRowStripes="1"/>
</table>
</file>

<file path=xl/tables/table4.xml><?xml version="1.0" encoding="utf-8"?>
<table xmlns="http://schemas.openxmlformats.org/spreadsheetml/2006/main" ref="A1:D28" displayName="CatalogoRN" name="CatalogoRN" id="4">
  <tableColumns count="4">
    <tableColumn name="RN" id="1"/>
    <tableColumn name="Nome" id="2"/>
    <tableColumn name="Regra de negócio" id="3"/>
    <tableColumn name="Requisitos relacionados" id="4"/>
  </tableColumns>
  <tableStyleInfo name="RN-style" showColumnStripes="0" showFirstColumn="1" showLastColumn="1" showRowStripes="1"/>
</table>
</file>

<file path=xl/tables/table5.xml><?xml version="1.0" encoding="utf-8"?>
<table xmlns="http://schemas.openxmlformats.org/spreadsheetml/2006/main" ref="A1:D8" displayName="CatalogoRNF" name="CatalogoRNF" id="5">
  <tableColumns count="4">
    <tableColumn name="RNF" id="1"/>
    <tableColumn name="Nome" id="2"/>
    <tableColumn name="Condição de qualidade" id="3"/>
    <tableColumn name="Como verificar" id="4"/>
  </tableColumns>
  <tableStyleInfo name="RNF-style" showColumnStripes="0" showFirstColumn="1" showLastColumn="1" showRowStripes="1"/>
</table>
</file>

<file path=xl/tables/table6.xml><?xml version="1.0" encoding="utf-8"?>
<table xmlns="http://schemas.openxmlformats.org/spreadsheetml/2006/main" ref="A1:G8" displayName="RastreabilidadeTecnica" name="RastreabilidadeTecnica" id="6">
  <tableColumns count="7">
    <tableColumn name="Requisitos" id="1"/>
    <tableColumn name="Atividade" id="2"/>
    <tableColumn name="Responsável" id="3"/>
    <tableColumn name="Artefato" id="4"/>
    <tableColumn name="Integração" id="5"/>
    <tableColumn name="Teste" id="6"/>
    <tableColumn name="Entrega" id="7"/>
  </tableColumns>
  <tableStyleInfo name="Rastreabilidade-style" showColumnStripes="0" showFirstColumn="1" showLastColumn="1" showRowStripes="1"/>
</table>
</file>

<file path=xl/tables/table7.xml><?xml version="1.0" encoding="utf-8"?>
<table xmlns="http://schemas.openxmlformats.org/spreadsheetml/2006/main" ref="A1:E18" displayName="DecisoesPendentes" name="DecisoesPendentes" id="7">
  <tableColumns count="5">
    <tableColumn name="Decisão" id="1"/>
    <tableColumn name="Tema" id="2"/>
    <tableColumn name="Ponto de decisão" id="3"/>
    <tableColumn name="Requisitos e regras" id="4"/>
    <tableColumn name="Decisão adotada" id="5"/>
  </tableColumns>
  <tableStyleInfo name="Validaçäo-style" showColumnStripes="0" showFirstColumn="1" showLastColumn="1" showRowStripes="1"/>
</table>
</file>

<file path=xl/tables/table8.xml><?xml version="1.0" encoding="utf-8"?>
<table xmlns="http://schemas.openxmlformats.org/spreadsheetml/2006/main" ref="A1:C8" displayName="RevisaoAtual" name="RevisaoAtual" id="8">
  <tableColumns count="3">
    <tableColumn name="Fonte ou revisão" id="1"/>
    <tableColumn name="Identificadores e conteúdo" id="2"/>
    <tableColumn name="Tratamento na versão 2.0" id="3"/>
  </tableColumns>
  <tableStyleInfo name="Histórico-style" showColumnStripes="0" showFirstColumn="1" showLastColumn="1" showRowStripes="1"/>
</table>
</file>

<file path=xl/tables/table9.xml><?xml version="1.0" encoding="utf-8"?>
<table xmlns="http://schemas.openxmlformats.org/spreadsheetml/2006/main" ref="A1:C8" displayName="Cronograma" name="Cronograma" id="9">
  <tableColumns count="3">
    <tableColumn name="Marco" id="1"/>
    <tableColumn name="Tipo" id="2"/>
    <tableColumn name="Data / Descrição" id="3"/>
  </tableColumns>
  <tableStyleInfo name="Cronograma-style" showColumnStripes="0" showFirstColumn="1" showLastColumn="1" showRowStripes="1"/>
</table>
</file>

<file path=xl/tables/table10.xml><?xml version="1.0" encoding="utf-8"?>
<table xmlns="http://schemas.openxmlformats.org/spreadsheetml/2006/main" ref="A1:C7" displayName="Estimativas" name="Estimativas" id="10">
  <tableColumns count="3">
    <tableColumn name="Item" id="1"/>
    <tableColumn name="Estimativa" id="2"/>
    <tableColumn name="Observação" id="3"/>
  </tableColumns>
  <tableStyleInfo name="Estimativ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78" dT="2026-09-27T13:49:27.00" personId="{59e7f551-1bf6-45e3-aeab-1a132659d756}" id="{bacf01c2-7838-491a-aecd-d5029282f6d4}" done="1">
    <x18tc:text xml:space="preserve">Adicionei RBN12.03 e RBN12.04, fazem sentido ne?</x18tc:text>
  </x18tc:threadedComment>
  <x18tc:threadedComment ref="C78" dT="2026-09-27T14:56:39.00" personId="{b3b17719-9837-44b3-adf0-0ab8a98c9ecb}" id="{b609bca0-63da-452e-800a-9ead4851aa42}" parentId="{bacf01c2-7838-491a-aecd-d5029282f6d4}">
    <x18tc:text xml:space="preserve">Aqui nessa cabe uma pergunta não temos um Requisito que permite a desistência e que define como vai ocorrer.</x18tc:text>
  </x18tc:threadedComment>
  <x18tc:threadedComment ref="C78" dT="2026-09-27T17:22:01.00" personId="{5b7b75fc-035e-4f3c-aa3b-9e26590d9d7f}" id="{7c3127d4-abb4-4186-8dae-6433253143b4}" parentId="{bacf01c2-7838-491a-aecd-d5029282f6d4}">
    <x18tc:text xml:space="preserve">é bom mesmo.</x18tc:text>
  </x18tc:threadedComment>
  <x18tc:threadedComment ref="C42" dT="2026-09-29T20:50:03.00" personId="{21c8c71c-028a-4066-aaab-da5fe6e1cd54}" id="{4a2bb26b-500f-4ac8-8719-4784bdf7290b}" done="1">
    <x18tc:text xml:space="preserve">Após conclusão e aprovação de aluno de TCC2 é necessário que o usuário seja arquivado, então histórico de conversas e e etc., mas mantem o cadastro de tcc e etc.</x18tc:text>
  </x18tc:threadedComment>
  <x18tc:threadedComment ref="C15" dT="2026-09-27T16:47:31.00" personId="{5b7b75fc-035e-4f3c-aa3b-9e26590d9d7f}" id="{aab8a498-f88a-44d3-b836-f19b0ff191fb}" done="1">
    <x18tc:text xml:space="preserve">Acho bom deixar claro proposta de q, monografia aritgo, tcc, ou n?</x18tc:text>
  </x18tc:threadedComment>
  <x18tc:threadedComment ref="C15" dT="2026-09-29T17:10:46.00" personId="{5b7b75fc-035e-4f3c-aa3b-9e26590d9d7f}" id="{6429c363-4c15-412d-b544-7975520a476e}" parentId="{aab8a498-f88a-44d3-b836-f19b0ff191fb}">
    <x18tc:text xml:space="preserve">So tcc mesmo ne. pq monografia e se n for tcc</x18tc:text>
  </x18tc:threadedComment>
  <x18tc:threadedComment ref="C15" dT="2026-09-29T17:45:21.00" personId="{917f7c6d-fee3-4535-b8e8-ab855de0abb0}" id="{525f0152-ba69-4d3f-a605-332c895e00c8}" parentId="{aab8a498-f88a-44d3-b836-f19b0ff191fb}">
    <x18tc:text xml:space="preserve">Acho que TCC mesmo, porque TCC pode ser monografia, artigo, entre outros que n se aplica no nosso caso
Marcada como resolvida
Marcada como resolvida</x18tc:text>
  </x18tc:threadedComment>
  <x18tc:threadedComment ref="C16" dT="2026-09-27T16:48:24.00" personId="{5b7b75fc-035e-4f3c-aa3b-9e26590d9d7f}" id="{c5424091-020a-4890-8ebc-9e91b3d19eef}" done="1">
    <x18tc:text xml:space="preserve">Validem se temos que deixar maix claro que isso serrve pra tcc</x18tc:text>
  </x18tc:threadedComment>
  <x18tc:threadedComment ref="C16" dT="2026-09-29T17:21:08.00" personId="{21c8c71c-028a-4066-aaab-da5fe6e1cd54}" id="{1c9931f6-1d11-4e0c-86e9-c1a2214b485e}" parentId="{c5424091-020a-4890-8ebc-9e91b3d19eef}">
    <x18tc:text xml:space="preserve">Aqui devemos prestar mais atenção na questão de quem pode ver essas propostas e quais não podem. Quem vai poder ver isso só os professores?
Marcada como resolvida
Marcada como resolvida</x18tc:text>
  </x18tc:threadedComment>
  <x18tc:threadedComment ref="A1" dT="2026-09-27T17:01:02.00" personId="{5b7b75fc-035e-4f3c-aa3b-9e26590d9d7f}" id="{0060d98e-30bf-4d1b-828d-9cc242dcae5b}" done="1">
    <x18tc:text xml:space="preserve">n entendi direito do que se trata o cadastro incompativel. Eu submetr o mesmo artigo duas vezes ou submeter dois artifos diferentes na mesma materia? Como vai tratar se eu fiz tcc 1 um tcc ai no tcc2 eu poder colocar outro:? O sistema impede de qual forma? acho importante esse controle</x18tc:text>
  </x18tc:threadedComment>
  <x18tc:threadedComment ref="A1" dT="2026-09-27T17:36:31.00" personId="{917f7c6d-fee3-4535-b8e8-ab855de0abb0}" id="{3a3d6b46-cc1a-44a3-be2e-1dde2938da06}" parentId="{0060d98e-30bf-4d1b-828d-9cc242dcae5b}">
    <x18tc:text xml:space="preserve">Pensei nisso aqui: O sistema deve impedir que um aluno possua mais de um cadastro de TCC ativo no mesmo período letivo.</x18tc:text>
  </x18tc:threadedComment>
  <x18tc:threadedComment ref="A1" dT="2026-09-27T17:37:42.00" personId="{917f7c6d-fee3-4535-b8e8-ab855de0abb0}" id="{28a16e4b-61ea-43c8-8b55-aae5e3278ff8}" parentId="{0060d98e-30bf-4d1b-828d-9cc242dcae5b}">
    <x18tc:text xml:space="preserve">Mas fiquei na dúvida, a gente quer bloquear o cadastro de mais de um TCC no mesmo período mesmo que eles sejam diferentes ou quer bloquer só quando for o mesmo TCC/artigo?</x18tc:text>
  </x18tc:threadedComment>
  <x18tc:threadedComment ref="A1" dT="2026-09-27T17:40:07.00" personId="{5b7b75fc-035e-4f3c-aa3b-9e26590d9d7f}" id="{fcb2f9f1-6cd6-4726-b521-b0741307ddc8}" parentId="{0060d98e-30bf-4d1b-828d-9cc242dcae5b}">
    <x18tc:text xml:space="preserve">acho q so pode um tcc ai qunaod or aprovado n pode mudar mais. ta ai uma boa pergunta, pq acho q pode mudar ne. Mas sera q se comeco no tcc1 ai posso mudar ate uma data no tcc1. mas como tcc2 e uma continuacao do tcc1 no tcc2 eu n posso mudar de vez?</x18tc:text>
  </x18tc:threadedComment>
  <x18tc:threadedComment ref="A1" dT="2026-09-27T18:08:08.00" personId="{917f7c6d-fee3-4535-b8e8-ab855de0abb0}" id="{76308082-4df6-4cec-a3f9-6b553f3a93b5}" parentId="{0060d98e-30bf-4d1b-828d-9cc242dcae5b}">
    <x18tc:text xml:space="preserve">Pois é, pensei isso, mas aí eu realmente não tenho a menor ideia, acho bom a gente perguntar dela ou de alguém na seegunda, o quanto antes</x18tc:text>
  </x18tc:threadedComment>
  <x18tc:threadedComment ref="C42" dT="2026-09-26T14:14:51.00" personId="{5b7b75fc-035e-4f3c-aa3b-9e26590d9d7f}" id="{00bb9a6a-c78a-45d3-93c6-0c9baf8c7f2e}" done="1">
    <x18tc:text xml:space="preserve">Separar: Manter somente manual como must, codigo fica como should/Could (a definifir). Esforco nao necessario no momento.</x18tc:text>
  </x18tc:threadedComment>
  <x18tc:threadedComment ref="C42" dT="2026-09-29T20:48:08.00" personId="{21c8c71c-028a-4066-aaab-da5fe6e1cd54}" id="{e0d6f7ad-4d43-4776-8862-49677bc5a4fb}" parentId="{00bb9a6a-c78a-45d3-93c6-0c9baf8c7f2e}">
    <x18tc:text xml:space="preserve">Após
Marcada como resolvida
Marcada como resolvida
Marcada como resolvida</x18tc:text>
  </x18tc:threadedComment>
  <x18tc:threadedComment ref="C19" dT="2026-09-27T16:54:52.00" personId="{5b7b75fc-035e-4f3c-aa3b-9e26590d9d7f}" id="{dd9c8774-6470-4bf0-a6fe-ae1aa481cdc9}" done="1">
    <x18tc:text xml:space="preserve">corrijam se errei alguma situacao editorial</x18tc:text>
  </x18tc:threadedComment>
  <x18tc:threadedComment ref="C19" dT="2026-09-27T17:31:06.00" personId="{917f7c6d-fee3-4535-b8e8-ab855de0abb0}" id="{88db44c9-4c4f-4b93-9bb6-008b161d7307}" parentId="{dd9c8774-6470-4bf0-a6fe-ae1aa481cdc9}">
    <x18tc:text xml:space="preserve">Pesquisei aqui e alterei para (Submetido, Em avaliação, Aceito, Em revisão, Rejeitado ou Publicado)</x18tc:text>
  </x18tc:threadedComment>
  <x18tc:threadedComment ref="C19" dT="2026-09-27T17:31:38.00" personId="{5b7b75fc-035e-4f3c-aa3b-9e26590d9d7f}" id="{54889a34-4b9a-4f12-8012-be2ee4f9a54f}" parentId="{dd9c8774-6470-4bf0-a6fe-ae1aa481cdc9}">
    <x18tc:text xml:space="preserve">perfeito
Marcada como resolvida
Marcada como resolvida</x18tc:text>
  </x18tc:threadedComment>
  <x18tc:threadedComment ref="A1" dT="2026-09-27T21:39:18.00" personId="{5b7b75fc-035e-4f3c-aa3b-9e26590d9d7f}" id="{3a2a9ce1-667d-44c2-9ebf-c365205a6216}" done="1">
    <x18tc:text xml:space="preserve">Gente, qual perfil responsavel aqui? Coordenador? ou Orientador a aluno?</x18tc:text>
  </x18tc:threadedComment>
  <x18tc:threadedComment ref="C76" dT="2026-09-27T14:27:49.00" personId="{59e7f551-1bf6-45e3-aeab-1a132659d756}" id="{45a78807-e119-442a-a3bd-cf23388e0978}" done="1">
    <x18tc:text xml:space="preserve">1- tem que criar uma rbn para quando um filtro não retornar registro?
2 - tem que criar uma RNF cobre o tempo de carregamento dos indicadores igual do tcc de 3s?
3 - onde entra a modalidade?
4 - tem que criar uma rbn falando que o dashboard pode ser exportado?</x18tc:text>
  </x18tc:threadedComment>
  <x18tc:threadedComment ref="C76" dT="2026-09-27T14:42:52.00" personId="{b3b17719-9837-44b3-adf0-0ab8a98c9ecb}" id="{686a2846-8258-4449-a98b-4d0d76587083}" parentId="{45a78807-e119-442a-a3bd-cf23388e0978}">
    <x18tc:text xml:space="preserve">1 - Creio que não é necessário, isso aí é caminho infeliz, fluxo de exceção.
2 - Seria bom, aliás achei esses requisitos de toda planilha muito incompletos
3 -  Precisa ter!
4 - Sim, deve permitir exportar o dashboard e também gerar relatório, aliás seria interessante nós termos um template de como eles fazem esse relatório, vamos ver amanhã</x18tc:text>
  </x18tc:threadedComment>
  <x18tc:threadedComment ref="A1" dT="2026-09-30T01:21:30.00" personId="{59e7f551-1bf6-45e3-aeab-1a132659d756}" id="{26b49cd9-58f7-457c-bdc9-9826ad391670}" done="1">
    <x18tc:text xml:space="preserve">Remove??</x18tc:text>
  </x18tc:threadedComment>
  <x18tc:threadedComment ref="A1" dT="2026-09-30T01:49:09.00" personId="{5b7b75fc-035e-4f3c-aa3b-9e26590d9d7f}" id="{f548e2f0-47d6-41f2-96cf-9c21894c08f9}" parentId="{26b49cd9-58f7-457c-bdc9-9826ad391670}">
    <x18tc:text xml:space="preserve">tem que primeiro ver pra onde vai</x18tc:text>
  </x18tc:threadedComment>
  <x18tc:threadedComment ref="D1" dT="2026-09-29T17:37:28.00" personId="{21c8c71c-028a-4066-aaab-da5fe6e1cd54}" id="{b9350ec6-b3b6-4fe1-9c7a-5f73dcb00286}" done="1">
    <x18tc:text xml:space="preserve">Adicionar os respectivos atores principais</x18tc:text>
  </x18tc:threadedComment>
  <x18tc:threadedComment ref="B76" dT="2026-09-27T14:14:12.00" personId="{59e7f551-1bf6-45e3-aeab-1a132659d756}" id="{5e44b95a-90a1-479d-8df3-6c5b6b165dbf}" done="1">
    <x18tc:text xml:space="preserve">oque é esses indicadores?</x18tc:text>
  </x18tc:threadedComment>
  <x18tc:threadedComment ref="B76" dT="2026-09-30T01:47:01.00" personId="{5b7b75fc-035e-4f3c-aa3b-9e26590d9d7f}" id="{bfa676b2-ed3b-4b07-b34a-03399ef91c0b}" parentId="{5e44b95a-90a1-479d-8df3-6c5b6b165dbf}">
    <x18tc:text xml:space="preserve">ainda tem que especificar aqui esses indicaodres ou mudar o termo</x18tc:text>
  </x18tc:threadedComment>
  <x18tc:threadedComment ref="C50" dT="2026-09-30T03:31:23.00" personId="{21c8c71c-028a-4066-aaab-da5fe6e1cd54}" id="{cd899f8d-9945-4dc0-ab81-c17ae288f0a8}" done="1">
    <x18tc:text xml:space="preserve">Aqui há um problema, onde está especificado a confirmação de participação do membro da banca?</x18tc:text>
  </x18tc:threadedComment>
  <x18tc:threadedComment ref="C17" dT="2026-09-27T16:50:47.00" personId="{5b7b75fc-035e-4f3c-aa3b-9e26590d9d7f}" id="{e7314b18-7dd0-4aa2-a945-722864474ac2}" done="1">
    <x18tc:text xml:space="preserve">Qual o perfil autorizado:?? Coordenador? n entendi</x18tc:text>
  </x18tc:threadedComment>
  <x18tc:threadedComment ref="C77" dT="2026-09-27T14:14:38.00" personId="{59e7f551-1bf6-45e3-aeab-1a132659d756}" id="{69301f01-c9c3-4805-8bd7-0fa17d133038}" done="1">
    <x18tc:text xml:space="preserve">oque é esses indicadores?</x18tc:text>
  </x18tc:threadedComment>
  <x18tc:threadedComment ref="C77" dT="2026-09-27T14:44:37.00" personId="{b3b17719-9837-44b3-adf0-0ab8a98c9ecb}" id="{97ac5dec-47b5-4701-9fea-a3f98f2ed6a4}" parentId="{69301f01-c9c3-4805-8bd7-0fa17d133038}">
    <x18tc:text xml:space="preserve">Creio que seja percentuais e etc., mas isso deve ser bem claro, deve sem bem explícito quais são esses indicadores</x18tc:text>
  </x18tc:threadedComment>
  <x18tc:threadedComment ref="C2" dT="2026-09-28T22:36:57.00" personId="{5b7b75fc-035e-4f3c-aa3b-9e26590d9d7f}" id="{489d48ff-ce15-4f4c-b6e6-ec005dee9da2}" done="1">
    <x18tc:text xml:space="preserve">QUAL o perfil autorizado?</x18tc:text>
  </x18tc:threadedComment>
  <x18tc:threadedComment ref="C2" dT="2026-09-29T18:05:28.00" personId="{5b7b75fc-035e-4f3c-aa3b-9e26590d9d7f}" id="{b451839a-03a8-4ef8-966d-f8b1118e88d7}" parentId="{489d48ff-ce15-4f4c-b6e6-ec005dee9da2}">
    <x18tc:text xml:space="preserve">importante adicioanr nos proessores areas de interesse dlee tbm , ne
Marcada como resolvida
Marcada como resolvida</x18tc:text>
  </x18tc:threadedComment>
  <x18tc:threadedComment ref="C24" dT="2026-09-29T18:21:23.00" personId="{5b7b75fc-035e-4f3c-aa3b-9e26590d9d7f}" id="{3f9ea7ae-af57-4350-8e5b-14780daea93f}" done="1">
    <x18tc:text xml:space="preserve">situacao editorial?</x18tc:text>
  </x18tc:threadedComment>
  <x18tc:threadedComment ref="A1" dT="2026-09-27T17:01:42.00" personId="{5b7b75fc-035e-4f3c-aa3b-9e26590d9d7f}" id="{4b973c81-f4b6-4722-bd1d-c14c5d17e6f1}" done="1">
    <x18tc:text xml:space="preserve">resumo de quantas caracteres, quais sao as areas, o q seria linha de pesquisa?</x18tc:text>
  </x18tc:threadedComment>
  <x18tc:threadedComment ref="A1" dT="2026-09-27T17:43:59.00" personId="{917f7c6d-fee3-4535-b8e8-ab855de0abb0}" id="{117c51a7-004a-4bed-b7d4-bbc9a1dfd487}" parentId="{4b973c81-f4b6-4722-bd1d-c14c5d17e6f1}">
    <x18tc:text xml:space="preserve">pelo que achei aqui do TCC da UEA, são 500 palavras o resumo e 10 palavras chave, vou colocar isso</x18tc:text>
  </x18tc:threadedComment>
  <x18tc:threadedComment ref="A1" dT="2026-09-27T18:18:42.00" personId="{5b7b75fc-035e-4f3c-aa3b-9e26590d9d7f}" id="{dc683be5-2b3d-40fb-a2eb-173131688154}" parentId="{4b973c81-f4b6-4722-bd1d-c14c5d17e6f1}">
    <x18tc:text xml:space="preserve">top
Marcada como resolvida
Marcada como resolvida</x18tc:text>
  </x18tc:threadedComment>
  <x18tc:threadedComment ref="C27" dT="2026-09-29T18:19:47.00" personId="{5b7b75fc-035e-4f3c-aa3b-9e26590d9d7f}" id="{e286ae7d-89de-429b-aea5-914471a9831a}" done="1">
    <x18tc:text xml:space="preserve">O que faz uma pessoa recusar e outra devolver? sera q tem q deixar mais claro?</x18tc:text>
  </x18tc:threadedComment>
  <x18tc:threadedComment ref="C10" dT="2026-09-30T14:55:49.00" personId="{5b7b75fc-035e-4f3c-aa3b-9e26590d9d7f}" id="{cda9af3f-00c5-4c28-80e1-0bbec3f25810}" done="1">
    <x18tc:text xml:space="preserve">essa matricula ai tem q tirar ou quebrar oq cada perfil pdoe editar???</x18tc:text>
  </x18tc:threadedComment>
  <x18tc:threadedComment ref="C10" dT="2026-09-30T14:55:50.00" personId="{c684db28-87cc-4fa5-8891-2df22267b672}" id="{3bbb584d-7f94-416b-a4e4-a204c6fd09eb}" parentId="{cda9af3f-00c5-4c28-80e1-0bbec3f25810}">
    <x18tc:text xml:space="preserve">Marcada como resolvida</x18tc:text>
  </x18tc:threadedComment>
  <x18tc:threadedComment ref="C10" dT="2026-10-01T02:38:01.00" personId="{21181341-9993-42b0-bb2b-cd6de6314388}" id="{d261b133-3375-4c07-b679-0631ac31db46}" parentId="{cda9af3f-00c5-4c28-80e1-0bbec3f25810}">
    <x18tc:text xml:space="preserve">Reaberta</x18tc:text>
  </x18tc:threadedComment>
  <x18tc:threadedComment ref="C10" dT="2026-10-01T02:38:03.00" personId="{21181341-9993-42b0-bb2b-cd6de6314388}" id="{a5afff78-973a-4365-a37d-f9494f2ba021}" parentId="{cda9af3f-00c5-4c28-80e1-0bbec3f25810}">
    <x18tc:text xml:space="preserve">Marcada como resolvida</x18tc:text>
  </x18tc:threadedComment>
  <x18tc:threadedComment ref="C10" dT="2026-10-01T02:38:03.00" personId="{21181341-9993-42b0-bb2b-cd6de6314388}" id="{0bb7355a-de91-406b-94e6-65ec2b7839f2}" parentId="{cda9af3f-00c5-4c28-80e1-0bbec3f25810}">
    <x18tc:text xml:space="preserve">Reaberta</x18tc:text>
  </x18tc:threadedComment>
  <x18tc:threadedComment ref="C10" dT="2026-10-01T02:38:05.00" personId="{21181341-9993-42b0-bb2b-cd6de6314388}" id="{3277cf61-8f4d-4ff2-a35d-67bb6bd3a6dd}" parentId="{cda9af3f-00c5-4c28-80e1-0bbec3f25810}">
    <x18tc:text xml:space="preserve">Marcada como resolvida</x18tc:text>
  </x18tc:threadedComment>
  <x18tc:threadedComment ref="C10" dT="2026-10-01T02:38:06.00" personId="{21181341-9993-42b0-bb2b-cd6de6314388}" id="{be62bd73-9600-454c-b7bc-11bf74737fa2}" parentId="{cda9af3f-00c5-4c28-80e1-0bbec3f25810}">
    <x18tc:text xml:space="preserve">Reaberta</x18tc:text>
  </x18tc:threadedComment>
  <x18tc:threadedComment ref="E22" dT="2026-09-27T17:02:45.00" personId="{5b7b75fc-035e-4f3c-aa3b-9e26590d9d7f}" id="{70d6f38c-e661-4476-8c3f-1e59e3cae519}" done="1">
    <x18tc:text xml:space="preserve">entendi, mas ta meio abstrato ainda. mllehor simplificar isso</x18tc:text>
  </x18tc:threadedComment>
  <x18tc:threadedComment ref="E22" dT="2026-09-27T19:36:21.00" personId="{917f7c6d-fee3-4535-b8e8-ab855de0abb0}" id="{e506c913-08eb-4c21-aeb3-12066d63159e}" parentId="{70d6f38c-e661-4476-8c3f-1e59e3cae519}">
    <x18tc:text xml:space="preserve">Mudei a proposta aí, o que acha</x18tc:text>
  </x18tc:threadedComment>
  <x18tc:threadedComment ref="C40" dT="2026-09-27T17:11:04.00" personId="{5b7b75fc-035e-4f3c-aa3b-9e26590d9d7f}" id="{3d7b11f5-2546-4dab-b11e-54c0e4c2f88b}" done="1">
    <x18tc:text xml:space="preserve">precisa defnir esses documentos sera?</x18tc:text>
  </x18tc:threadedComment>
  <x18tc:threadedComment ref="C40" dT="2026-09-27T19:24:48.00" personId="{917f7c6d-fee3-4535-b8e8-ab855de0abb0}" id="{442da9f7-96ab-46d2-8579-ab122b3d1273}" parentId="{3d7b11f5-2546-4dab-b11e-54c0e4c2f88b}">
    <x18tc:text xml:space="preserve">Acho que seria o próprio docs do TCC, como na RBN08.04
Marcada como resolvida
Marcada como resolvida</x18tc:text>
  </x18tc:threadedComment>
  <x18tc:threadedComment ref="C79" dT="2026-09-27T13:52:57.00" personId="{59e7f551-1bf6-45e3-aeab-1a132659d756}" id="{8917dce1-6834-49a6-9991-f036e7390d42}" done="1">
    <x18tc:text xml:space="preserve">falta algum papel? suplente deixa?</x18tc:text>
  </x18tc:threadedComment>
  <x18tc:threadedComment ref="C79" dT="2026-09-27T14:57:11.00" personId="{b3b17719-9837-44b3-adf0-0ab8a98c9ecb}" id="{67d467ce-2aa5-436e-b8ee-32f5782fd8f1}" parentId="{8917dce1-6834-49a6-9991-f036e7390d42}">
    <x18tc:text xml:space="preserve">bom, creio que são esses os papeis.</x18tc:text>
  </x18tc:threadedComment>
  <x18tc:threadedComment ref="E2" dT="2026-09-27T01:58:43.00" personId="{21c8c71c-028a-4066-aaab-da5fe6e1cd54}" id="{eb565393-6efa-4f81-9658-916c71fa98b4}" done="1">
    <x18tc:text xml:space="preserve">Achei meio estranho essa parte de aluno atribui a si mesmo perfil de coordenação</x18tc:text>
  </x18tc:threadedComment>
  <x18tc:threadedComment ref="E2" dT="2026-09-27T16:45:18.00" personId="{5b7b75fc-035e-4f3c-aa3b-9e26590d9d7f}" id="{33986aa4-01eb-4e6c-bf45-ae70a136e898}" parentId="{eb565393-6efa-4f81-9658-916c71fa98b4}">
    <x18tc:text xml:space="preserve">tbm achei, melhor tirar</x18tc:text>
  </x18tc:threadedComment>
  <x18tc:threadedComment ref="C20" dT="2026-09-27T17:02:06.00" personId="{5b7b75fc-035e-4f3c-aa3b-9e26590d9d7f}" id="{396fc91a-6e26-4eeb-8c67-d9e51cdfa47a}" done="1">
    <x18tc:text xml:space="preserve">sera q precisa falar quais campos obrigaotrios aqui?</x18tc:text>
  </x18tc:threadedComment>
  <x18tc:threadedComment ref="C20" dT="2026-09-27T18:15:51.00" personId="{917f7c6d-fee3-4535-b8e8-ab855de0abb0}" id="{bd0bedd0-6408-43c0-bff9-3255633e3e37}" parentId="{396fc91a-6e26-4eeb-8c67-d9e51cdfa47a}">
    <x18tc:text xml:space="preserve">Reformulei um pouco aqui, o que acha</x18tc:text>
  </x18tc:threadedComment>
  <x18tc:threadedComment ref="C20" dT="2026-09-27T18:19:30.00" personId="{5b7b75fc-035e-4f3c-aa3b-9e26590d9d7f}" id="{2aef5585-b2f6-4f45-82b2-50102c71ccad}" parentId="{396fc91a-6e26-4eeb-8c67-d9e51cdfa47a}">
    <x18tc:text xml:space="preserve">ja tem esses campos definidos em outra rnb? se tiver, bom referneciar quais sao esses campos, se n tiver tem que falar</x18tc:text>
  </x18tc:threadedComment>
  <x18tc:threadedComment ref="C20" dT="2026-09-27T18:21:13.00" personId="{917f7c6d-fee3-4535-b8e8-ab855de0abb0}" id="{9a535e53-daf6-471d-940f-b901a22474cd}" parentId="{396fc91a-6e26-4eeb-8c67-d9e51cdfa47a}">
    <x18tc:text xml:space="preserve">Sabe me dizer se seria esses da RBN1.01 e 1.03?</x18tc:text>
  </x18tc:threadedComment>
  <x18tc:threadedComment ref="C20" dT="2026-09-27T21:47:04.00" personId="{5b7b75fc-035e-4f3c-aa3b-9e26590d9d7f}" id="{0c0037de-b3d2-42f3-8334-15f54f234aa3}" parentId="{396fc91a-6e26-4eeb-8c67-d9e51cdfa47a}">
    <x18tc:text xml:space="preserve">Ent referencie</x18tc:text>
  </x18tc:threadedComment>
  <x18tc:threadedComment ref="C7" dT="2026-09-26T14:31:47.00" personId="{5b7b75fc-035e-4f3c-aa3b-9e26590d9d7f}" id="{50e8bc29-8b86-4246-b57a-9b85e36709dd}" done="1">
    <x18tc:text xml:space="preserve">O sistema deve permitir login. Adicionar campos do login, como sao os campos a serem preenchidas (Nome ou CPF, Senha alfanumerica?). Como funciona recuperação de senha? Como fica a segurança do sistema? verificacao de duas etapas por email?</x18tc:text>
  </x18tc:threadedComment>
  <x18tc:threadedComment ref="C7" dT="2026-09-27T17:16:38.00" personId="{21c8c71c-028a-4066-aaab-da5fe6e1cd54}" id="{d69d696e-f228-486d-a4d8-88d2ad88f10b}" parentId="{50e8bc29-8b86-4246-b57a-9b85e36709dd}">
    <x18tc:text xml:space="preserve">recuperação de senha RBN07.05, autenticação=login, tá aí os campos e-mail institucional e senha, a segurança é o RNF especificado na aba RNF
Marcada como resolvida
Marcada como resolvida</x18tc:text>
  </x18tc:threadedComment>
  <x18tc:threadedComment ref="E5" dT="2026-09-27T16:46:48.00" personId="{5b7b75fc-035e-4f3c-aa3b-9e26590d9d7f}" id="{6472c93b-dffc-4a75-9afe-45879f6d5b91}" done="1">
    <x18tc:text xml:space="preserve">O usuario vai poder se cadastrar no sistema msm?</x18tc:text>
  </x18tc:threadedComment>
  <x18tc:threadedComment ref="E5" dT="2026-09-27T17:17:29.00" personId="{21c8c71c-028a-4066-aaab-da5fe6e1cd54}" id="{dd162704-b6ed-4adb-83eb-028a72d48888}" parentId="{6472c93b-dffc-4a75-9afe-45879f6d5b91}">
    <x18tc:text xml:space="preserve">Isso foi uma das minhas dúvidas, alguém cadastra, ou definimos um usuário root pra isso?</x18tc:text>
  </x18tc:threadedComment>
  <x18tc:threadedComment ref="E5" dT="2026-09-27T17:18:13.00" personId="{21c8c71c-028a-4066-aaab-da5fe6e1cd54}" id="{a0286272-bcc1-43bc-96ae-0c17c39659e8}" parentId="{6472c93b-dffc-4a75-9afe-45879f6d5b91}">
    <x18tc:text xml:space="preserve">Estava pensando em definir um seed user que vai cadastrar, sem senha daí é mandado um link pro e-mail do cara pra definir a senha</x18tc:text>
  </x18tc:threadedComment>
  <x18tc:threadedComment ref="E5" dT="2026-09-27T17:27:37.00" personId="{5b7b75fc-035e-4f3c-aa3b-9e26590d9d7f}" id="{3a0654df-2e20-4402-8e20-77d205f361b6}" parentId="{6472c93b-dffc-4a75-9afe-45879f6d5b91}">
    <x18tc:text xml:space="preserve">seria bom assim. mas temq  mudar esse req n pode esquecer</x18tc:text>
  </x18tc:threadedComment>
  <x18tc:threadedComment ref="E5" dT="2026-09-27T17:27:53.00" personId="{5b7b75fc-035e-4f3c-aa3b-9e26590d9d7f}" id="{41f15fe7-9e1e-4de3-8405-0889c8431ce3}" parentId="{6472c93b-dffc-4a75-9afe-45879f6d5b91}">
    <x18tc:text xml:space="preserve">sera q pergunta?</x18tc:text>
  </x18tc:threadedComment>
  <x18tc:threadedComment ref="E5" dT="2026-09-27T17:31:07.00" personId="{21c8c71c-028a-4066-aaab-da5fe6e1cd54}" id="{2c143c7b-1f50-423d-88a1-67827219969d}" parentId="{6472c93b-dffc-4a75-9afe-45879f6d5b91}">
    <x18tc:text xml:space="preserve">Resolvido: RBN07.04 agora só trata da regra de senha; criei o RBN07.06 com o modelo de seed user (conta sem senha + link de ativação em 48h), exatamente como discutido aqui.
Marcada como resolvida
Marcada como resolvida</x18tc:text>
  </x18tc:threadedComment>
  <x18tc:threadedComment ref="C31" dT="2026-09-27T17:09:23.00" personId="{5b7b75fc-035e-4f3c-aa3b-9e26590d9d7f}" id="{6460a94d-fa6c-45ef-a8e3-e99e806963f6}" done="1">
    <x18tc:text xml:space="preserve">qual perfil autorizado?</x18tc:text>
  </x18tc:threadedComment>
  <x18tc:threadedComment ref="C31" dT="2026-09-27T18:31:25.00" personId="{917f7c6d-fee3-4535-b8e8-ab855de0abb0}" id="{f5f0236c-20fe-4fa2-884c-032b6c10b21a}" parentId="{6460a94d-fa6c-45ef-a8e3-e99e806963f6}">
    <x18tc:text xml:space="preserve">Acredito que professor e coordenação não?
Marcada como resolvida
Marcada como resolvida</x18tc:text>
  </x18tc:threadedComment>
  <x18tc:threadedComment ref="E15" dT="2026-09-28T16:40:18.00" personId="{5b7b75fc-035e-4f3c-aa3b-9e26590d9d7f}" id="{2c76834a-aa06-4b9d-87b1-67c39125eb53}" done="1">
    <x18tc:text xml:space="preserve">Precisamos colocar auqi mesmo as areas de interesse (IA, ES e etc..)</x18tc:text>
  </x18tc:threadedComment>
  <x18tc:threadedComment ref="C6" dT="2026-09-29T18:12:47.00" personId="{5b7b75fc-035e-4f3c-aa3b-9e26590d9d7f}" id="{810e23df-6e46-487e-bf77-6b20b961b6cd}" done="1">
    <x18tc:text xml:space="preserve">sera q esses 48 horas sao necessaria pq se ele perder da maior burocracia pra pedir dnv</x18tc:text>
  </x18tc:threadedComment>
  <x18tc:threadedComment ref="C33" dT="2026-09-27T17:09:39.00" personId="{5b7b75fc-035e-4f3c-aa3b-9e26590d9d7f}" id="{8c814408-bcf2-4529-9316-a2c4ebdc0f5f}" done="1">
    <x18tc:text xml:space="preserve">qual documentoé esse?</x18tc:text>
  </x18tc:threadedComment>
  <x18tc:threadedComment ref="C33" dT="2026-09-27T19:20:10.00" personId="{917f7c6d-fee3-4535-b8e8-ab855de0abb0}" id="{77e095d0-b32e-4f63-bdd6-7e6ecb5a5166}" parentId="{8c814408-bcf2-4529-9316-a2c4ebdc0f5f}">
    <x18tc:text xml:space="preserve">Acho que é o proprio documento do TCC</x18tc:text>
  </x18tc:threadedComment>
  <x18tc:threadedComment ref="C33" dT="2026-09-27T21:48:12.00" personId="{5b7b75fc-035e-4f3c-aa3b-9e26590d9d7f}" id="{fcdae7fc-77fd-47a8-94ae-8bf4e8959c87}" parentId="{8c814408-bcf2-4529-9316-a2c4ebdc0f5f}">
    <x18tc:text xml:space="preserve">tem q falar</x18tc:text>
  </x18tc:threadedComment>
  <x18tc:threadedComment ref="C33" dT="2026-09-27T22:02:23.00" personId="{917f7c6d-fee3-4535-b8e8-ab855de0abb0}" id="{a388b4b1-5fa9-4885-ad8f-df1c04e89ea5}" parentId="{8c814408-bcf2-4529-9316-a2c4ebdc0f5f}">
    <x18tc:text xml:space="preserve">Eu mudei aí, coloquei vers~oes do TCC
Marcada como resolvida
Marcada como resolvida</x18tc:text>
  </x18tc:threadedComment>
  <x18tc:threadedComment ref="A1" dT="2026-09-29T19:39:34.00" personId="{917f7c6d-fee3-4535-b8e8-ab855de0abb0}" id="{e71aff7a-9a2a-4f7b-b94b-92f21161ab14}" done="1">
    <x18tc:text xml:space="preserve">matricula ativa? como o sistrma vai saber?</x18tc:text>
  </x18tc:threadedComment>
  <x18tc:threadedComment ref="A1" dT="2026-09-29T19:40:03.00" personId="{917f7c6d-fee3-4535-b8e8-ab855de0abb0}" id="{27f8de23-e7f8-4270-bcf7-7029ecfed5be}" parentId="{e71aff7a-9a2a-4f7b-b94b-92f21161ab14}">
    <x18tc:text xml:space="preserve">rnf?
Marcada como resolvida
Marcada como resolvida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75"/>
    <col customWidth="1" min="3" max="3" width="57.25"/>
    <col customWidth="1" min="4" max="4" width="27.38"/>
    <col customWidth="1" min="5" max="5" width="46.0"/>
    <col customWidth="1" min="6" max="6" width="10.88"/>
    <col customWidth="1" min="7" max="7" width="23.88"/>
    <col customWidth="1" min="8" max="8" width="26.88"/>
    <col customWidth="1" min="9" max="9" width="16.63"/>
  </cols>
  <sheetData>
    <row r="1" ht="36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201.0" customHeight="1">
      <c r="A2" s="4" t="str">
        <f>RAN!D2</f>
        <v>MOD01 - Usuários e acesso</v>
      </c>
      <c r="B2" s="5" t="str">
        <f>RAN!A2&amp;" - "&amp;RAN!C2</f>
        <v>RAN01 - O sistema deve gerenciar usuários (aluno, professor da disciplina, orientador, coordenador e membro da banca) e as permissões dos cinco perfis previstos no escopo.</v>
      </c>
      <c r="C2" s="6" t="s">
        <v>9</v>
      </c>
      <c r="D2" s="6" t="s">
        <v>10</v>
      </c>
      <c r="E2" s="7" t="s">
        <v>11</v>
      </c>
      <c r="F2" s="8" t="s">
        <v>12</v>
      </c>
      <c r="G2" s="9" t="s">
        <v>13</v>
      </c>
      <c r="H2" s="9" t="s">
        <v>14</v>
      </c>
      <c r="I2" s="10" t="s">
        <v>15</v>
      </c>
    </row>
    <row r="3" ht="96.0" customHeight="1">
      <c r="A3" s="11"/>
      <c r="C3" s="6" t="s">
        <v>16</v>
      </c>
      <c r="D3" s="6" t="s">
        <v>10</v>
      </c>
      <c r="E3" s="9" t="s">
        <v>17</v>
      </c>
      <c r="F3" s="8" t="s">
        <v>12</v>
      </c>
      <c r="G3" s="9" t="s">
        <v>13</v>
      </c>
      <c r="H3" s="9" t="s">
        <v>14</v>
      </c>
      <c r="I3" s="10" t="s">
        <v>15</v>
      </c>
    </row>
    <row r="4" ht="66.0" customHeight="1">
      <c r="A4" s="11"/>
      <c r="C4" s="6" t="s">
        <v>18</v>
      </c>
      <c r="D4" s="6" t="s">
        <v>10</v>
      </c>
      <c r="E4" s="9" t="s">
        <v>19</v>
      </c>
      <c r="F4" s="8" t="s">
        <v>12</v>
      </c>
      <c r="G4" s="9" t="s">
        <v>13</v>
      </c>
      <c r="H4" s="9" t="s">
        <v>20</v>
      </c>
      <c r="I4" s="10" t="s">
        <v>15</v>
      </c>
    </row>
    <row r="5" ht="81.0" customHeight="1">
      <c r="A5" s="11"/>
      <c r="C5" s="6" t="s">
        <v>21</v>
      </c>
      <c r="D5" s="6" t="s">
        <v>22</v>
      </c>
      <c r="E5" s="9" t="s">
        <v>23</v>
      </c>
      <c r="F5" s="8" t="s">
        <v>12</v>
      </c>
      <c r="G5" s="9" t="s">
        <v>13</v>
      </c>
      <c r="H5" s="9" t="s">
        <v>24</v>
      </c>
      <c r="I5" s="10" t="s">
        <v>25</v>
      </c>
    </row>
    <row r="6" ht="111.0" customHeight="1">
      <c r="A6" s="11"/>
      <c r="C6" s="12" t="s">
        <v>26</v>
      </c>
      <c r="D6" s="6" t="s">
        <v>10</v>
      </c>
      <c r="E6" s="9" t="s">
        <v>27</v>
      </c>
      <c r="F6" s="8" t="s">
        <v>12</v>
      </c>
      <c r="G6" s="9" t="s">
        <v>13</v>
      </c>
      <c r="H6" s="9" t="s">
        <v>24</v>
      </c>
      <c r="I6" s="10" t="s">
        <v>25</v>
      </c>
    </row>
    <row r="7" ht="186.0" customHeight="1">
      <c r="A7" s="11"/>
      <c r="C7" s="6" t="s">
        <v>28</v>
      </c>
      <c r="D7" s="6" t="s">
        <v>29</v>
      </c>
      <c r="E7" s="9" t="s">
        <v>30</v>
      </c>
      <c r="F7" s="8" t="s">
        <v>12</v>
      </c>
      <c r="G7" s="9" t="s">
        <v>13</v>
      </c>
      <c r="H7" s="9" t="s">
        <v>31</v>
      </c>
      <c r="I7" s="10" t="s">
        <v>25</v>
      </c>
    </row>
    <row r="8" ht="66.0" customHeight="1">
      <c r="A8" s="11"/>
      <c r="C8" s="6" t="s">
        <v>32</v>
      </c>
      <c r="D8" s="6" t="s">
        <v>33</v>
      </c>
      <c r="E8" s="7" t="s">
        <v>34</v>
      </c>
      <c r="F8" s="8" t="s">
        <v>12</v>
      </c>
      <c r="G8" s="9" t="s">
        <v>13</v>
      </c>
      <c r="H8" s="9" t="s">
        <v>24</v>
      </c>
      <c r="I8" s="10" t="s">
        <v>25</v>
      </c>
    </row>
    <row r="9" ht="81.0" customHeight="1">
      <c r="A9" s="11"/>
      <c r="C9" s="6" t="s">
        <v>35</v>
      </c>
      <c r="D9" s="6" t="s">
        <v>10</v>
      </c>
      <c r="E9" s="9" t="s">
        <v>36</v>
      </c>
      <c r="F9" s="8" t="s">
        <v>12</v>
      </c>
      <c r="G9" s="9" t="s">
        <v>13</v>
      </c>
      <c r="H9" s="9" t="s">
        <v>37</v>
      </c>
      <c r="I9" s="10" t="s">
        <v>15</v>
      </c>
    </row>
    <row r="10" ht="96.0" customHeight="1">
      <c r="A10" s="11"/>
      <c r="C10" s="6" t="s">
        <v>38</v>
      </c>
      <c r="D10" s="6" t="s">
        <v>39</v>
      </c>
      <c r="E10" s="9" t="s">
        <v>40</v>
      </c>
      <c r="F10" s="8" t="s">
        <v>41</v>
      </c>
      <c r="G10" s="9" t="s">
        <v>13</v>
      </c>
      <c r="H10" s="9" t="s">
        <v>24</v>
      </c>
      <c r="I10" s="10" t="s">
        <v>15</v>
      </c>
    </row>
    <row r="11" ht="96.0" customHeight="1">
      <c r="A11" s="11"/>
      <c r="C11" s="6" t="s">
        <v>42</v>
      </c>
      <c r="D11" s="6" t="s">
        <v>43</v>
      </c>
      <c r="E11" s="9" t="s">
        <v>44</v>
      </c>
      <c r="F11" s="8" t="s">
        <v>12</v>
      </c>
      <c r="G11" s="9" t="s">
        <v>45</v>
      </c>
      <c r="H11" s="9" t="s">
        <v>24</v>
      </c>
      <c r="I11" s="10" t="s">
        <v>15</v>
      </c>
    </row>
    <row r="12" ht="81.0" customHeight="1">
      <c r="A12" s="11"/>
      <c r="C12" s="6" t="s">
        <v>46</v>
      </c>
      <c r="D12" s="6" t="s">
        <v>47</v>
      </c>
      <c r="E12" s="9" t="s">
        <v>48</v>
      </c>
      <c r="F12" s="8" t="s">
        <v>12</v>
      </c>
      <c r="G12" s="9" t="s">
        <v>49</v>
      </c>
      <c r="H12" s="9" t="s">
        <v>24</v>
      </c>
      <c r="I12" s="10" t="s">
        <v>25</v>
      </c>
    </row>
    <row r="13" ht="141.0" customHeight="1">
      <c r="A13" s="11"/>
      <c r="C13" s="13" t="s">
        <v>50</v>
      </c>
      <c r="D13" s="6" t="s">
        <v>51</v>
      </c>
      <c r="E13" s="9" t="s">
        <v>52</v>
      </c>
      <c r="F13" s="8" t="s">
        <v>12</v>
      </c>
      <c r="G13" s="9" t="s">
        <v>53</v>
      </c>
      <c r="H13" s="9" t="s">
        <v>24</v>
      </c>
      <c r="I13" s="10" t="s">
        <v>54</v>
      </c>
    </row>
    <row r="14" ht="141.0" customHeight="1">
      <c r="A14" s="11"/>
      <c r="C14" s="12" t="s">
        <v>55</v>
      </c>
      <c r="D14" s="6" t="s">
        <v>51</v>
      </c>
      <c r="E14" s="9" t="s">
        <v>56</v>
      </c>
      <c r="F14" s="8" t="s">
        <v>12</v>
      </c>
      <c r="G14" s="9" t="s">
        <v>13</v>
      </c>
      <c r="H14" s="9" t="s">
        <v>24</v>
      </c>
      <c r="I14" s="10" t="s">
        <v>57</v>
      </c>
    </row>
    <row r="15" ht="81.0" customHeight="1">
      <c r="A15" s="14"/>
      <c r="B15" s="15"/>
      <c r="C15" s="16" t="s">
        <v>58</v>
      </c>
      <c r="D15" s="16" t="s">
        <v>29</v>
      </c>
      <c r="E15" s="17" t="s">
        <v>59</v>
      </c>
      <c r="F15" s="18" t="s">
        <v>60</v>
      </c>
      <c r="G15" s="17" t="s">
        <v>13</v>
      </c>
      <c r="H15" s="17" t="s">
        <v>24</v>
      </c>
      <c r="I15" s="19" t="s">
        <v>25</v>
      </c>
    </row>
    <row r="16" ht="201.0" customHeight="1">
      <c r="A16" s="20" t="str">
        <f>RAN!D3</f>
        <v>MOD02 - Interação e compartilhamento de ideias</v>
      </c>
      <c r="B16" s="21" t="str">
        <f>RAN!A3&amp;" - "&amp;RAN!C3</f>
        <v>RAN02 - O sistema deve permitir a alunos compartilhar e discutir propostas, com moderação.</v>
      </c>
      <c r="C16" s="22" t="s">
        <v>61</v>
      </c>
      <c r="D16" s="22" t="s">
        <v>39</v>
      </c>
      <c r="E16" s="23" t="s">
        <v>62</v>
      </c>
      <c r="F16" s="24" t="s">
        <v>12</v>
      </c>
      <c r="G16" s="23" t="s">
        <v>63</v>
      </c>
      <c r="H16" s="23" t="s">
        <v>14</v>
      </c>
      <c r="I16" s="25" t="s">
        <v>64</v>
      </c>
    </row>
    <row r="17" ht="51.0" customHeight="1">
      <c r="A17" s="11"/>
      <c r="C17" s="26" t="s">
        <v>65</v>
      </c>
      <c r="D17" s="22" t="s">
        <v>66</v>
      </c>
      <c r="E17" s="23" t="s">
        <v>67</v>
      </c>
      <c r="F17" s="24" t="s">
        <v>12</v>
      </c>
      <c r="G17" s="23" t="s">
        <v>13</v>
      </c>
      <c r="H17" s="23" t="s">
        <v>31</v>
      </c>
      <c r="I17" s="25" t="s">
        <v>64</v>
      </c>
    </row>
    <row r="18" ht="111.0" customHeight="1">
      <c r="A18" s="14"/>
      <c r="B18" s="15"/>
      <c r="C18" s="27" t="s">
        <v>68</v>
      </c>
      <c r="D18" s="27" t="s">
        <v>10</v>
      </c>
      <c r="E18" s="28" t="s">
        <v>69</v>
      </c>
      <c r="F18" s="29" t="s">
        <v>60</v>
      </c>
      <c r="G18" s="28" t="s">
        <v>13</v>
      </c>
      <c r="H18" s="28" t="s">
        <v>14</v>
      </c>
      <c r="I18" s="30" t="s">
        <v>64</v>
      </c>
    </row>
    <row r="19" ht="126.0" customHeight="1">
      <c r="A19" s="20" t="str">
        <f>RAN!D4</f>
        <v>MOD03 - Gestão e acompanhamento dos TCCs</v>
      </c>
      <c r="B19" s="5" t="str">
        <f>RAN!A4&amp;" - "&amp;RAN!C4</f>
        <v>RAN03 - O sistema deve permitir que o aluno cadastre e submeta um novo TCC.</v>
      </c>
      <c r="C19" s="6" t="s">
        <v>70</v>
      </c>
      <c r="D19" s="6" t="s">
        <v>39</v>
      </c>
      <c r="E19" s="9" t="s">
        <v>71</v>
      </c>
      <c r="F19" s="8" t="s">
        <v>12</v>
      </c>
      <c r="G19" s="9" t="s">
        <v>72</v>
      </c>
      <c r="H19" s="9" t="s">
        <v>73</v>
      </c>
      <c r="I19" s="10" t="s">
        <v>74</v>
      </c>
    </row>
    <row r="20" ht="126.0" customHeight="1">
      <c r="A20" s="11"/>
      <c r="C20" s="6" t="s">
        <v>75</v>
      </c>
      <c r="D20" s="6" t="s">
        <v>39</v>
      </c>
      <c r="E20" s="7" t="s">
        <v>76</v>
      </c>
      <c r="F20" s="8" t="s">
        <v>12</v>
      </c>
      <c r="G20" s="9" t="s">
        <v>77</v>
      </c>
      <c r="H20" s="9" t="s">
        <v>73</v>
      </c>
      <c r="I20" s="10" t="s">
        <v>74</v>
      </c>
    </row>
    <row r="21" ht="111.0" customHeight="1">
      <c r="A21" s="11"/>
      <c r="C21" s="12" t="s">
        <v>78</v>
      </c>
      <c r="D21" s="6" t="s">
        <v>39</v>
      </c>
      <c r="E21" s="7" t="s">
        <v>79</v>
      </c>
      <c r="F21" s="8" t="s">
        <v>12</v>
      </c>
      <c r="G21" s="9" t="s">
        <v>80</v>
      </c>
      <c r="H21" s="9" t="s">
        <v>14</v>
      </c>
      <c r="I21" s="10" t="s">
        <v>74</v>
      </c>
    </row>
    <row r="22" ht="81.0" customHeight="1">
      <c r="A22" s="11"/>
      <c r="C22" s="6" t="s">
        <v>81</v>
      </c>
      <c r="D22" s="6" t="s">
        <v>47</v>
      </c>
      <c r="E22" s="9" t="s">
        <v>82</v>
      </c>
      <c r="F22" s="8" t="s">
        <v>12</v>
      </c>
      <c r="G22" s="9" t="s">
        <v>83</v>
      </c>
      <c r="H22" s="9" t="s">
        <v>84</v>
      </c>
      <c r="I22" s="10" t="s">
        <v>74</v>
      </c>
    </row>
    <row r="23" ht="81.0" customHeight="1">
      <c r="A23" s="11"/>
      <c r="C23" s="6" t="s">
        <v>85</v>
      </c>
      <c r="D23" s="6" t="s">
        <v>39</v>
      </c>
      <c r="E23" s="9" t="s">
        <v>86</v>
      </c>
      <c r="F23" s="8" t="s">
        <v>12</v>
      </c>
      <c r="G23" s="9" t="s">
        <v>87</v>
      </c>
      <c r="H23" s="9" t="s">
        <v>14</v>
      </c>
      <c r="I23" s="10" t="s">
        <v>74</v>
      </c>
    </row>
    <row r="24" ht="81.0" customHeight="1">
      <c r="A24" s="11"/>
      <c r="C24" s="6" t="s">
        <v>88</v>
      </c>
      <c r="D24" s="6" t="s">
        <v>47</v>
      </c>
      <c r="E24" s="9" t="s">
        <v>89</v>
      </c>
      <c r="F24" s="8" t="s">
        <v>41</v>
      </c>
      <c r="G24" s="9" t="s">
        <v>90</v>
      </c>
      <c r="H24" s="9" t="s">
        <v>24</v>
      </c>
      <c r="I24" s="10" t="s">
        <v>57</v>
      </c>
    </row>
    <row r="25" ht="81.0" customHeight="1">
      <c r="A25" s="11"/>
      <c r="C25" s="6" t="s">
        <v>91</v>
      </c>
      <c r="D25" s="6" t="s">
        <v>47</v>
      </c>
      <c r="E25" s="9" t="s">
        <v>92</v>
      </c>
      <c r="F25" s="8" t="s">
        <v>60</v>
      </c>
      <c r="G25" s="9" t="s">
        <v>93</v>
      </c>
      <c r="H25" s="9" t="s">
        <v>24</v>
      </c>
      <c r="I25" s="10" t="s">
        <v>74</v>
      </c>
    </row>
    <row r="26" ht="126.0" customHeight="1">
      <c r="A26" s="11"/>
      <c r="B26" s="31" t="str">
        <f>RAN!A5&amp;" - "&amp;RAN!C5</f>
        <v>RAN04 - O sistema deve permitir que a Coordenador(a) analise o cadastro do TCC, aprove, devolva para correção ou reprove a solicitação.</v>
      </c>
      <c r="C26" s="32" t="s">
        <v>94</v>
      </c>
      <c r="D26" s="33" t="s">
        <v>10</v>
      </c>
      <c r="E26" s="34" t="s">
        <v>95</v>
      </c>
      <c r="F26" s="35" t="s">
        <v>12</v>
      </c>
      <c r="G26" s="34" t="s">
        <v>96</v>
      </c>
      <c r="H26" s="34" t="s">
        <v>14</v>
      </c>
      <c r="I26" s="36" t="s">
        <v>97</v>
      </c>
    </row>
    <row r="27" ht="96.0" customHeight="1">
      <c r="A27" s="11"/>
      <c r="C27" s="22" t="s">
        <v>98</v>
      </c>
      <c r="D27" s="22" t="s">
        <v>10</v>
      </c>
      <c r="E27" s="23" t="s">
        <v>99</v>
      </c>
      <c r="F27" s="24" t="s">
        <v>12</v>
      </c>
      <c r="G27" s="23" t="s">
        <v>100</v>
      </c>
      <c r="H27" s="23" t="s">
        <v>14</v>
      </c>
      <c r="I27" s="25" t="s">
        <v>97</v>
      </c>
    </row>
    <row r="28" ht="96.0" customHeight="1">
      <c r="A28" s="11"/>
      <c r="C28" s="22" t="s">
        <v>101</v>
      </c>
      <c r="D28" s="22" t="s">
        <v>10</v>
      </c>
      <c r="E28" s="23" t="s">
        <v>102</v>
      </c>
      <c r="F28" s="24" t="s">
        <v>41</v>
      </c>
      <c r="G28" s="23" t="s">
        <v>100</v>
      </c>
      <c r="H28" s="23" t="s">
        <v>14</v>
      </c>
      <c r="I28" s="25" t="s">
        <v>97</v>
      </c>
    </row>
    <row r="29" ht="96.0" customHeight="1">
      <c r="A29" s="11"/>
      <c r="C29" s="22" t="s">
        <v>103</v>
      </c>
      <c r="D29" s="22" t="s">
        <v>10</v>
      </c>
      <c r="E29" s="23" t="s">
        <v>104</v>
      </c>
      <c r="F29" s="24" t="s">
        <v>12</v>
      </c>
      <c r="G29" s="23" t="s">
        <v>100</v>
      </c>
      <c r="H29" s="23" t="s">
        <v>14</v>
      </c>
      <c r="I29" s="25" t="s">
        <v>97</v>
      </c>
    </row>
    <row r="30" ht="111.0" customHeight="1">
      <c r="A30" s="11"/>
      <c r="C30" s="22" t="s">
        <v>105</v>
      </c>
      <c r="D30" s="22" t="s">
        <v>47</v>
      </c>
      <c r="E30" s="23" t="s">
        <v>106</v>
      </c>
      <c r="F30" s="24" t="s">
        <v>41</v>
      </c>
      <c r="G30" s="23" t="s">
        <v>87</v>
      </c>
      <c r="H30" s="23" t="s">
        <v>14</v>
      </c>
      <c r="I30" s="25" t="s">
        <v>97</v>
      </c>
    </row>
    <row r="31" ht="141.0" customHeight="1">
      <c r="A31" s="11"/>
      <c r="B31" s="37" t="str">
        <f>RAN!A6&amp;" - "&amp;RAN!C6</f>
        <v>RAN05 - O sistema deve permitir consultar e atualizar a evolução dos trabalhos e seus vínculos acadêmicos.</v>
      </c>
      <c r="C31" s="38" t="s">
        <v>107</v>
      </c>
      <c r="D31" s="38" t="s">
        <v>108</v>
      </c>
      <c r="E31" s="39" t="s">
        <v>109</v>
      </c>
      <c r="F31" s="40" t="s">
        <v>12</v>
      </c>
      <c r="G31" s="39" t="s">
        <v>110</v>
      </c>
      <c r="H31" s="39" t="s">
        <v>14</v>
      </c>
      <c r="I31" s="41" t="s">
        <v>111</v>
      </c>
    </row>
    <row r="32" ht="111.0" customHeight="1">
      <c r="A32" s="11"/>
      <c r="C32" s="12" t="s">
        <v>112</v>
      </c>
      <c r="D32" s="12" t="s">
        <v>113</v>
      </c>
      <c r="E32" s="7" t="s">
        <v>114</v>
      </c>
      <c r="F32" s="8" t="s">
        <v>12</v>
      </c>
      <c r="G32" s="7" t="s">
        <v>115</v>
      </c>
      <c r="H32" s="9" t="s">
        <v>14</v>
      </c>
      <c r="I32" s="10" t="s">
        <v>116</v>
      </c>
    </row>
    <row r="33" ht="81.0" customHeight="1">
      <c r="A33" s="11"/>
      <c r="C33" s="6" t="s">
        <v>117</v>
      </c>
      <c r="D33" s="6" t="s">
        <v>118</v>
      </c>
      <c r="E33" s="9" t="s">
        <v>119</v>
      </c>
      <c r="F33" s="8" t="s">
        <v>12</v>
      </c>
      <c r="G33" s="9" t="s">
        <v>120</v>
      </c>
      <c r="H33" s="9" t="s">
        <v>31</v>
      </c>
      <c r="I33" s="10" t="s">
        <v>111</v>
      </c>
    </row>
    <row r="34" ht="111.0" customHeight="1">
      <c r="A34" s="11"/>
      <c r="C34" s="12" t="s">
        <v>121</v>
      </c>
      <c r="D34" s="6" t="s">
        <v>47</v>
      </c>
      <c r="E34" s="9" t="s">
        <v>122</v>
      </c>
      <c r="F34" s="8" t="s">
        <v>41</v>
      </c>
      <c r="G34" s="9" t="s">
        <v>123</v>
      </c>
      <c r="H34" s="9" t="s">
        <v>14</v>
      </c>
      <c r="I34" s="10" t="s">
        <v>116</v>
      </c>
    </row>
    <row r="35" ht="87.0" customHeight="1">
      <c r="A35" s="11"/>
      <c r="C35" s="6" t="s">
        <v>124</v>
      </c>
      <c r="D35" s="6" t="s">
        <v>66</v>
      </c>
      <c r="E35" s="7" t="s">
        <v>125</v>
      </c>
      <c r="F35" s="8" t="s">
        <v>41</v>
      </c>
      <c r="G35" s="9" t="s">
        <v>13</v>
      </c>
      <c r="H35" s="9" t="s">
        <v>126</v>
      </c>
      <c r="I35" s="10" t="s">
        <v>116</v>
      </c>
    </row>
    <row r="36" ht="66.0" customHeight="1">
      <c r="A36" s="11"/>
      <c r="B36" s="31" t="str">
        <f>RAN!A7&amp;" - "&amp;RAN!C7</f>
        <v>RAN06 - O sistema deve permitir vincular orientador e coorientador do TCC.</v>
      </c>
      <c r="C36" s="33" t="s">
        <v>127</v>
      </c>
      <c r="D36" s="33" t="s">
        <v>39</v>
      </c>
      <c r="E36" s="34" t="s">
        <v>128</v>
      </c>
      <c r="F36" s="35" t="s">
        <v>12</v>
      </c>
      <c r="G36" s="34" t="s">
        <v>90</v>
      </c>
      <c r="H36" s="34" t="s">
        <v>14</v>
      </c>
      <c r="I36" s="36" t="s">
        <v>57</v>
      </c>
    </row>
    <row r="37" ht="96.0" customHeight="1">
      <c r="A37" s="11"/>
      <c r="C37" s="22" t="s">
        <v>129</v>
      </c>
      <c r="D37" s="22" t="s">
        <v>39</v>
      </c>
      <c r="E37" s="23" t="s">
        <v>130</v>
      </c>
      <c r="F37" s="24" t="s">
        <v>41</v>
      </c>
      <c r="G37" s="23" t="s">
        <v>90</v>
      </c>
      <c r="H37" s="23" t="s">
        <v>14</v>
      </c>
      <c r="I37" s="25" t="s">
        <v>57</v>
      </c>
    </row>
    <row r="38" ht="66.0" customHeight="1">
      <c r="A38" s="11"/>
      <c r="C38" s="22" t="s">
        <v>131</v>
      </c>
      <c r="D38" s="22" t="s">
        <v>132</v>
      </c>
      <c r="E38" s="42" t="s">
        <v>133</v>
      </c>
      <c r="F38" s="24" t="s">
        <v>41</v>
      </c>
      <c r="G38" s="23" t="s">
        <v>90</v>
      </c>
      <c r="H38" s="23" t="s">
        <v>14</v>
      </c>
      <c r="I38" s="25" t="s">
        <v>57</v>
      </c>
    </row>
    <row r="39" ht="81.0" customHeight="1">
      <c r="A39" s="11"/>
      <c r="B39" s="37" t="str">
        <f>RAN!A8&amp;" - "&amp;RAN!C8</f>
        <v>RAN07 - O sistema deve permitir enviar, consultar e versionar os documentos preliminares e finais do TCC.</v>
      </c>
      <c r="C39" s="38" t="s">
        <v>134</v>
      </c>
      <c r="D39" s="38" t="s">
        <v>39</v>
      </c>
      <c r="E39" s="39" t="s">
        <v>135</v>
      </c>
      <c r="F39" s="40" t="s">
        <v>12</v>
      </c>
      <c r="G39" s="39" t="s">
        <v>136</v>
      </c>
      <c r="H39" s="39" t="s">
        <v>137</v>
      </c>
      <c r="I39" s="41" t="s">
        <v>138</v>
      </c>
    </row>
    <row r="40" ht="66.0" customHeight="1">
      <c r="A40" s="11"/>
      <c r="C40" s="6" t="s">
        <v>139</v>
      </c>
      <c r="D40" s="6" t="s">
        <v>47</v>
      </c>
      <c r="E40" s="9" t="s">
        <v>140</v>
      </c>
      <c r="F40" s="8" t="s">
        <v>12</v>
      </c>
      <c r="G40" s="9" t="s">
        <v>141</v>
      </c>
      <c r="H40" s="9" t="s">
        <v>142</v>
      </c>
      <c r="I40" s="10" t="s">
        <v>138</v>
      </c>
    </row>
    <row r="41" ht="81.0" customHeight="1">
      <c r="A41" s="11"/>
      <c r="C41" s="6" t="s">
        <v>143</v>
      </c>
      <c r="D41" s="6" t="s">
        <v>47</v>
      </c>
      <c r="E41" s="9" t="s">
        <v>144</v>
      </c>
      <c r="F41" s="8" t="s">
        <v>12</v>
      </c>
      <c r="G41" s="9" t="s">
        <v>136</v>
      </c>
      <c r="H41" s="9" t="s">
        <v>137</v>
      </c>
      <c r="I41" s="10" t="s">
        <v>138</v>
      </c>
    </row>
    <row r="42" ht="96.0" customHeight="1">
      <c r="A42" s="11"/>
      <c r="C42" s="6" t="s">
        <v>145</v>
      </c>
      <c r="D42" s="6" t="s">
        <v>146</v>
      </c>
      <c r="E42" s="9" t="s">
        <v>147</v>
      </c>
      <c r="F42" s="8" t="s">
        <v>12</v>
      </c>
      <c r="G42" s="9" t="s">
        <v>148</v>
      </c>
      <c r="H42" s="9" t="s">
        <v>31</v>
      </c>
      <c r="I42" s="10" t="s">
        <v>138</v>
      </c>
    </row>
    <row r="43" ht="81.0" customHeight="1">
      <c r="A43" s="11"/>
      <c r="C43" s="6" t="s">
        <v>149</v>
      </c>
      <c r="D43" s="6" t="s">
        <v>47</v>
      </c>
      <c r="E43" s="9" t="s">
        <v>150</v>
      </c>
      <c r="F43" s="8" t="s">
        <v>60</v>
      </c>
      <c r="G43" s="9" t="s">
        <v>141</v>
      </c>
      <c r="H43" s="9" t="s">
        <v>24</v>
      </c>
      <c r="I43" s="10" t="s">
        <v>138</v>
      </c>
    </row>
    <row r="44" ht="111.0" customHeight="1">
      <c r="A44" s="11"/>
      <c r="B44" s="31" t="str">
        <f>RAN!A9&amp;" - "&amp;RAN!C9</f>
        <v>RAN08 - O sistema deve organizar os TCCs por turma (período, curso e professor responsável) e restringir o acompanhamento da turma ao seu professor.</v>
      </c>
      <c r="C44" s="33" t="s">
        <v>151</v>
      </c>
      <c r="D44" s="33" t="s">
        <v>10</v>
      </c>
      <c r="E44" s="34" t="s">
        <v>152</v>
      </c>
      <c r="F44" s="35" t="s">
        <v>12</v>
      </c>
      <c r="G44" s="34" t="s">
        <v>153</v>
      </c>
      <c r="H44" s="34" t="s">
        <v>126</v>
      </c>
      <c r="I44" s="36" t="s">
        <v>74</v>
      </c>
    </row>
    <row r="45" ht="81.0" customHeight="1">
      <c r="A45" s="11"/>
      <c r="C45" s="22" t="s">
        <v>154</v>
      </c>
      <c r="D45" s="22" t="s">
        <v>10</v>
      </c>
      <c r="E45" s="23" t="s">
        <v>155</v>
      </c>
      <c r="F45" s="24" t="s">
        <v>12</v>
      </c>
      <c r="G45" s="23" t="s">
        <v>156</v>
      </c>
      <c r="H45" s="23" t="s">
        <v>126</v>
      </c>
      <c r="I45" s="25" t="s">
        <v>74</v>
      </c>
    </row>
    <row r="46" ht="81.0" customHeight="1">
      <c r="A46" s="11"/>
      <c r="C46" s="22" t="s">
        <v>157</v>
      </c>
      <c r="D46" s="22" t="s">
        <v>10</v>
      </c>
      <c r="E46" s="23" t="s">
        <v>158</v>
      </c>
      <c r="F46" s="24" t="s">
        <v>12</v>
      </c>
      <c r="G46" s="23" t="s">
        <v>159</v>
      </c>
      <c r="H46" s="23" t="s">
        <v>37</v>
      </c>
      <c r="I46" s="25" t="s">
        <v>111</v>
      </c>
    </row>
    <row r="47" ht="111.0" customHeight="1">
      <c r="A47" s="11"/>
      <c r="C47" s="22" t="s">
        <v>160</v>
      </c>
      <c r="D47" s="22" t="s">
        <v>39</v>
      </c>
      <c r="E47" s="23" t="s">
        <v>161</v>
      </c>
      <c r="F47" s="24" t="s">
        <v>12</v>
      </c>
      <c r="G47" s="23" t="s">
        <v>162</v>
      </c>
      <c r="H47" s="23" t="s">
        <v>37</v>
      </c>
      <c r="I47" s="25" t="s">
        <v>74</v>
      </c>
    </row>
    <row r="48" ht="156.0" customHeight="1">
      <c r="A48" s="14"/>
      <c r="B48" s="15"/>
      <c r="C48" s="27" t="s">
        <v>163</v>
      </c>
      <c r="D48" s="27" t="s">
        <v>164</v>
      </c>
      <c r="E48" s="28" t="s">
        <v>165</v>
      </c>
      <c r="F48" s="29" t="s">
        <v>12</v>
      </c>
      <c r="G48" s="28" t="s">
        <v>156</v>
      </c>
      <c r="H48" s="28" t="s">
        <v>126</v>
      </c>
      <c r="I48" s="30" t="s">
        <v>166</v>
      </c>
    </row>
    <row r="49" ht="111.0" customHeight="1">
      <c r="A49" s="20" t="str">
        <f>RAN!D10</f>
        <v>MOD04 - Gestão da defesa</v>
      </c>
      <c r="B49" s="5" t="str">
        <f>RAN!A10&amp;" - "&amp;RAN!C10</f>
        <v>RAN09 - O sistema deve apoiar a organização de bancas, apresentações, avaliações e documentos de defesa.</v>
      </c>
      <c r="C49" s="6" t="s">
        <v>167</v>
      </c>
      <c r="D49" s="6" t="s">
        <v>168</v>
      </c>
      <c r="E49" s="9" t="s">
        <v>169</v>
      </c>
      <c r="F49" s="8" t="s">
        <v>12</v>
      </c>
      <c r="G49" s="9" t="s">
        <v>170</v>
      </c>
      <c r="H49" s="9" t="s">
        <v>14</v>
      </c>
      <c r="I49" s="10" t="s">
        <v>54</v>
      </c>
    </row>
    <row r="50" ht="96.0" customHeight="1">
      <c r="A50" s="11"/>
      <c r="C50" s="6" t="s">
        <v>171</v>
      </c>
      <c r="D50" s="6" t="s">
        <v>47</v>
      </c>
      <c r="E50" s="9" t="s">
        <v>172</v>
      </c>
      <c r="F50" s="8" t="s">
        <v>12</v>
      </c>
      <c r="G50" s="9" t="s">
        <v>53</v>
      </c>
      <c r="H50" s="9" t="s">
        <v>14</v>
      </c>
      <c r="I50" s="10" t="s">
        <v>54</v>
      </c>
    </row>
    <row r="51" ht="96.0" customHeight="1">
      <c r="A51" s="11"/>
      <c r="C51" s="6" t="s">
        <v>173</v>
      </c>
      <c r="D51" s="6" t="s">
        <v>168</v>
      </c>
      <c r="E51" s="9" t="s">
        <v>174</v>
      </c>
      <c r="F51" s="8" t="s">
        <v>12</v>
      </c>
      <c r="G51" s="9" t="s">
        <v>175</v>
      </c>
      <c r="H51" s="9" t="s">
        <v>14</v>
      </c>
      <c r="I51" s="10" t="s">
        <v>176</v>
      </c>
    </row>
    <row r="52" ht="81.0" customHeight="1">
      <c r="A52" s="11"/>
      <c r="C52" s="6" t="s">
        <v>177</v>
      </c>
      <c r="D52" s="6" t="s">
        <v>47</v>
      </c>
      <c r="E52" s="9" t="s">
        <v>178</v>
      </c>
      <c r="F52" s="8" t="s">
        <v>12</v>
      </c>
      <c r="G52" s="9" t="s">
        <v>179</v>
      </c>
      <c r="H52" s="9" t="s">
        <v>142</v>
      </c>
      <c r="I52" s="10" t="s">
        <v>176</v>
      </c>
    </row>
    <row r="53" ht="66.0" customHeight="1">
      <c r="A53" s="11"/>
      <c r="C53" s="6" t="s">
        <v>180</v>
      </c>
      <c r="D53" s="6" t="s">
        <v>47</v>
      </c>
      <c r="E53" s="7" t="s">
        <v>181</v>
      </c>
      <c r="F53" s="8" t="s">
        <v>41</v>
      </c>
      <c r="G53" s="9" t="s">
        <v>182</v>
      </c>
      <c r="H53" s="9" t="s">
        <v>24</v>
      </c>
      <c r="I53" s="10" t="s">
        <v>54</v>
      </c>
    </row>
    <row r="54" ht="51.0" customHeight="1">
      <c r="A54" s="11"/>
      <c r="C54" s="6" t="s">
        <v>183</v>
      </c>
      <c r="D54" s="6" t="s">
        <v>47</v>
      </c>
      <c r="E54" s="9" t="s">
        <v>184</v>
      </c>
      <c r="F54" s="8" t="s">
        <v>41</v>
      </c>
      <c r="G54" s="9" t="s">
        <v>185</v>
      </c>
      <c r="H54" s="9" t="s">
        <v>24</v>
      </c>
      <c r="I54" s="10" t="s">
        <v>176</v>
      </c>
    </row>
    <row r="55" ht="96.0" customHeight="1">
      <c r="A55" s="11"/>
      <c r="C55" s="6" t="s">
        <v>186</v>
      </c>
      <c r="D55" s="6" t="s">
        <v>187</v>
      </c>
      <c r="E55" s="9" t="s">
        <v>188</v>
      </c>
      <c r="F55" s="8" t="s">
        <v>12</v>
      </c>
      <c r="G55" s="9" t="s">
        <v>189</v>
      </c>
      <c r="H55" s="9" t="s">
        <v>14</v>
      </c>
      <c r="I55" s="10" t="s">
        <v>176</v>
      </c>
    </row>
    <row r="56" ht="96.0" customHeight="1">
      <c r="A56" s="11"/>
      <c r="C56" s="6" t="s">
        <v>190</v>
      </c>
      <c r="D56" s="6" t="s">
        <v>187</v>
      </c>
      <c r="E56" s="9" t="s">
        <v>191</v>
      </c>
      <c r="F56" s="8" t="s">
        <v>12</v>
      </c>
      <c r="G56" s="9" t="s">
        <v>189</v>
      </c>
      <c r="H56" s="9" t="s">
        <v>14</v>
      </c>
      <c r="I56" s="10" t="s">
        <v>176</v>
      </c>
    </row>
    <row r="57" ht="66.0" customHeight="1">
      <c r="A57" s="11"/>
      <c r="C57" s="6" t="s">
        <v>192</v>
      </c>
      <c r="D57" s="6" t="s">
        <v>51</v>
      </c>
      <c r="E57" s="9" t="s">
        <v>193</v>
      </c>
      <c r="F57" s="8" t="s">
        <v>41</v>
      </c>
      <c r="G57" s="9" t="s">
        <v>194</v>
      </c>
      <c r="H57" s="9" t="s">
        <v>37</v>
      </c>
      <c r="I57" s="10" t="s">
        <v>54</v>
      </c>
    </row>
    <row r="58" ht="66.0" customHeight="1">
      <c r="A58" s="11"/>
      <c r="C58" s="6" t="s">
        <v>195</v>
      </c>
      <c r="D58" s="6" t="s">
        <v>51</v>
      </c>
      <c r="E58" s="9" t="s">
        <v>196</v>
      </c>
      <c r="F58" s="8" t="s">
        <v>41</v>
      </c>
      <c r="G58" s="9" t="s">
        <v>197</v>
      </c>
      <c r="H58" s="9" t="s">
        <v>37</v>
      </c>
      <c r="I58" s="10" t="s">
        <v>198</v>
      </c>
    </row>
    <row r="59" ht="96.0" customHeight="1">
      <c r="A59" s="11"/>
      <c r="C59" s="6" t="s">
        <v>199</v>
      </c>
      <c r="D59" s="6" t="s">
        <v>47</v>
      </c>
      <c r="E59" s="9" t="s">
        <v>200</v>
      </c>
      <c r="F59" s="8" t="s">
        <v>12</v>
      </c>
      <c r="G59" s="9" t="s">
        <v>201</v>
      </c>
      <c r="H59" s="9" t="s">
        <v>37</v>
      </c>
      <c r="I59" s="10" t="s">
        <v>202</v>
      </c>
    </row>
    <row r="60" ht="96.0" customHeight="1">
      <c r="A60" s="11"/>
      <c r="C60" s="6" t="s">
        <v>203</v>
      </c>
      <c r="D60" s="6" t="s">
        <v>132</v>
      </c>
      <c r="E60" s="9" t="s">
        <v>204</v>
      </c>
      <c r="F60" s="8" t="s">
        <v>12</v>
      </c>
      <c r="G60" s="9" t="s">
        <v>205</v>
      </c>
      <c r="H60" s="9" t="s">
        <v>14</v>
      </c>
      <c r="I60" s="10" t="s">
        <v>202</v>
      </c>
    </row>
    <row r="61" ht="126.0" customHeight="1">
      <c r="A61" s="11"/>
      <c r="C61" s="6" t="s">
        <v>206</v>
      </c>
      <c r="D61" s="6" t="s">
        <v>108</v>
      </c>
      <c r="E61" s="9" t="s">
        <v>207</v>
      </c>
      <c r="F61" s="8" t="s">
        <v>12</v>
      </c>
      <c r="G61" s="9" t="s">
        <v>208</v>
      </c>
      <c r="H61" s="9" t="s">
        <v>14</v>
      </c>
      <c r="I61" s="10" t="s">
        <v>202</v>
      </c>
    </row>
    <row r="62" ht="111.0" customHeight="1">
      <c r="A62" s="11"/>
      <c r="C62" s="6" t="s">
        <v>209</v>
      </c>
      <c r="D62" s="6" t="s">
        <v>47</v>
      </c>
      <c r="E62" s="9" t="s">
        <v>210</v>
      </c>
      <c r="F62" s="8" t="s">
        <v>12</v>
      </c>
      <c r="G62" s="9" t="s">
        <v>211</v>
      </c>
      <c r="H62" s="9" t="s">
        <v>212</v>
      </c>
      <c r="I62" s="10" t="s">
        <v>213</v>
      </c>
    </row>
    <row r="63" ht="96.0" customHeight="1">
      <c r="A63" s="11"/>
      <c r="C63" s="6" t="s">
        <v>214</v>
      </c>
      <c r="D63" s="6" t="s">
        <v>47</v>
      </c>
      <c r="E63" s="9" t="s">
        <v>215</v>
      </c>
      <c r="F63" s="8" t="s">
        <v>12</v>
      </c>
      <c r="G63" s="9" t="s">
        <v>216</v>
      </c>
      <c r="H63" s="9" t="s">
        <v>217</v>
      </c>
      <c r="I63" s="10" t="s">
        <v>213</v>
      </c>
    </row>
    <row r="64" ht="81.0" customHeight="1">
      <c r="A64" s="11"/>
      <c r="C64" s="6" t="s">
        <v>218</v>
      </c>
      <c r="D64" s="6" t="s">
        <v>146</v>
      </c>
      <c r="E64" s="9" t="s">
        <v>219</v>
      </c>
      <c r="F64" s="8" t="s">
        <v>12</v>
      </c>
      <c r="G64" s="9" t="s">
        <v>220</v>
      </c>
      <c r="H64" s="9" t="s">
        <v>137</v>
      </c>
      <c r="I64" s="10" t="s">
        <v>213</v>
      </c>
    </row>
    <row r="65" ht="81.0" customHeight="1">
      <c r="A65" s="11"/>
      <c r="C65" s="43" t="s">
        <v>221</v>
      </c>
      <c r="D65" s="6" t="s">
        <v>47</v>
      </c>
      <c r="E65" s="9" t="s">
        <v>222</v>
      </c>
      <c r="F65" s="8" t="s">
        <v>41</v>
      </c>
      <c r="G65" s="9" t="s">
        <v>223</v>
      </c>
      <c r="H65" s="9" t="s">
        <v>20</v>
      </c>
      <c r="I65" s="10" t="s">
        <v>213</v>
      </c>
    </row>
    <row r="66" ht="141.0" customHeight="1">
      <c r="A66" s="11"/>
      <c r="B66" s="31" t="str">
        <f>RAN!A11&amp;" - "&amp;RAN!C11</f>
        <v>RAN10 - O sistema deve aplicar um instrumento de avaliação de defesa versionado, com componentes e critérios ponderados.</v>
      </c>
      <c r="C66" s="33" t="s">
        <v>224</v>
      </c>
      <c r="D66" s="33" t="s">
        <v>47</v>
      </c>
      <c r="E66" s="34" t="s">
        <v>225</v>
      </c>
      <c r="F66" s="35" t="s">
        <v>12</v>
      </c>
      <c r="G66" s="34" t="s">
        <v>226</v>
      </c>
      <c r="H66" s="34" t="s">
        <v>126</v>
      </c>
      <c r="I66" s="36" t="s">
        <v>227</v>
      </c>
    </row>
    <row r="67" ht="66.0" customHeight="1">
      <c r="A67" s="11"/>
      <c r="C67" s="22" t="s">
        <v>228</v>
      </c>
      <c r="D67" s="22" t="s">
        <v>229</v>
      </c>
      <c r="E67" s="23" t="s">
        <v>230</v>
      </c>
      <c r="F67" s="24" t="s">
        <v>12</v>
      </c>
      <c r="G67" s="23" t="s">
        <v>226</v>
      </c>
      <c r="H67" s="23" t="s">
        <v>126</v>
      </c>
      <c r="I67" s="25" t="s">
        <v>202</v>
      </c>
    </row>
    <row r="68" ht="111.0" customHeight="1">
      <c r="A68" s="11"/>
      <c r="C68" s="22" t="s">
        <v>231</v>
      </c>
      <c r="D68" s="22" t="s">
        <v>229</v>
      </c>
      <c r="E68" s="23" t="s">
        <v>232</v>
      </c>
      <c r="F68" s="24" t="s">
        <v>12</v>
      </c>
      <c r="G68" s="23" t="s">
        <v>233</v>
      </c>
      <c r="H68" s="23" t="s">
        <v>126</v>
      </c>
      <c r="I68" s="25" t="s">
        <v>202</v>
      </c>
    </row>
    <row r="69" ht="96.0" customHeight="1">
      <c r="A69" s="11"/>
      <c r="C69" s="22" t="s">
        <v>234</v>
      </c>
      <c r="D69" s="22" t="s">
        <v>47</v>
      </c>
      <c r="E69" s="23" t="s">
        <v>235</v>
      </c>
      <c r="F69" s="24" t="s">
        <v>12</v>
      </c>
      <c r="G69" s="23" t="s">
        <v>226</v>
      </c>
      <c r="H69" s="23" t="s">
        <v>126</v>
      </c>
      <c r="I69" s="25" t="s">
        <v>202</v>
      </c>
    </row>
    <row r="70" ht="81.0" customHeight="1">
      <c r="A70" s="11"/>
      <c r="C70" s="22" t="s">
        <v>236</v>
      </c>
      <c r="D70" s="22" t="s">
        <v>229</v>
      </c>
      <c r="E70" s="23" t="s">
        <v>237</v>
      </c>
      <c r="F70" s="24" t="s">
        <v>12</v>
      </c>
      <c r="G70" s="23" t="s">
        <v>226</v>
      </c>
      <c r="H70" s="23" t="s">
        <v>126</v>
      </c>
      <c r="I70" s="25" t="s">
        <v>202</v>
      </c>
    </row>
    <row r="71" ht="156.0" customHeight="1">
      <c r="A71" s="11"/>
      <c r="B71" s="37" t="str">
        <f>RAN!A12&amp;" - "&amp;RAN!C12</f>
        <v>RAN11 - O sistema deve permitir acompanhar as correções exigidas pela banca e registrar o encerramento acadêmico do TCC.</v>
      </c>
      <c r="C71" s="38" t="s">
        <v>238</v>
      </c>
      <c r="D71" s="38" t="s">
        <v>47</v>
      </c>
      <c r="E71" s="44" t="s">
        <v>239</v>
      </c>
      <c r="F71" s="40" t="s">
        <v>12</v>
      </c>
      <c r="G71" s="39" t="s">
        <v>240</v>
      </c>
      <c r="H71" s="39" t="s">
        <v>14</v>
      </c>
      <c r="I71" s="41" t="s">
        <v>166</v>
      </c>
    </row>
    <row r="72" ht="96.0" customHeight="1">
      <c r="A72" s="11"/>
      <c r="C72" s="6" t="s">
        <v>241</v>
      </c>
      <c r="D72" s="6" t="s">
        <v>39</v>
      </c>
      <c r="E72" s="9" t="s">
        <v>242</v>
      </c>
      <c r="F72" s="8" t="s">
        <v>12</v>
      </c>
      <c r="G72" s="9" t="s">
        <v>243</v>
      </c>
      <c r="H72" s="9" t="s">
        <v>137</v>
      </c>
      <c r="I72" s="10" t="s">
        <v>166</v>
      </c>
    </row>
    <row r="73" ht="126.0" customHeight="1">
      <c r="A73" s="11"/>
      <c r="C73" s="6" t="s">
        <v>244</v>
      </c>
      <c r="D73" s="6" t="s">
        <v>164</v>
      </c>
      <c r="E73" s="9" t="s">
        <v>245</v>
      </c>
      <c r="F73" s="8" t="s">
        <v>12</v>
      </c>
      <c r="G73" s="9" t="s">
        <v>246</v>
      </c>
      <c r="H73" s="9" t="s">
        <v>14</v>
      </c>
      <c r="I73" s="10" t="s">
        <v>166</v>
      </c>
    </row>
    <row r="74" ht="156.0" customHeight="1">
      <c r="A74" s="14"/>
      <c r="B74" s="15"/>
      <c r="C74" s="16" t="s">
        <v>247</v>
      </c>
      <c r="D74" s="16" t="s">
        <v>47</v>
      </c>
      <c r="E74" s="17" t="s">
        <v>248</v>
      </c>
      <c r="F74" s="18" t="s">
        <v>12</v>
      </c>
      <c r="G74" s="17" t="s">
        <v>249</v>
      </c>
      <c r="H74" s="17" t="s">
        <v>14</v>
      </c>
      <c r="I74" s="19" t="s">
        <v>166</v>
      </c>
    </row>
    <row r="75" ht="81.0" customHeight="1">
      <c r="A75" s="20" t="str">
        <f>RAN!D13</f>
        <v>MOD05 - Gestão da publicação</v>
      </c>
      <c r="B75" s="21" t="str">
        <f>RAN!A13&amp;" - "&amp;RAN!C13</f>
        <v>RAN12 - O sistema deve permitir o acompanhamento da submissão e publicação dos trabalhos, especialmente artigos científicos.</v>
      </c>
      <c r="C75" s="22" t="s">
        <v>250</v>
      </c>
      <c r="D75" s="22" t="s">
        <v>251</v>
      </c>
      <c r="E75" s="23" t="s">
        <v>252</v>
      </c>
      <c r="F75" s="24" t="s">
        <v>12</v>
      </c>
      <c r="G75" s="23" t="s">
        <v>253</v>
      </c>
      <c r="H75" s="23" t="s">
        <v>14</v>
      </c>
      <c r="I75" s="25" t="s">
        <v>254</v>
      </c>
    </row>
    <row r="76" ht="66.0" customHeight="1">
      <c r="A76" s="11"/>
      <c r="C76" s="22" t="s">
        <v>255</v>
      </c>
      <c r="D76" s="22" t="s">
        <v>47</v>
      </c>
      <c r="E76" s="42" t="s">
        <v>256</v>
      </c>
      <c r="F76" s="24" t="s">
        <v>41</v>
      </c>
      <c r="G76" s="23" t="s">
        <v>253</v>
      </c>
      <c r="H76" s="23" t="s">
        <v>14</v>
      </c>
      <c r="I76" s="25" t="s">
        <v>254</v>
      </c>
    </row>
    <row r="77" ht="141.0" customHeight="1">
      <c r="A77" s="11"/>
      <c r="C77" s="22" t="s">
        <v>257</v>
      </c>
      <c r="D77" s="22" t="s">
        <v>47</v>
      </c>
      <c r="E77" s="23" t="s">
        <v>258</v>
      </c>
      <c r="F77" s="24" t="s">
        <v>41</v>
      </c>
      <c r="G77" s="23" t="s">
        <v>259</v>
      </c>
      <c r="H77" s="23" t="s">
        <v>24</v>
      </c>
      <c r="I77" s="25" t="s">
        <v>254</v>
      </c>
    </row>
    <row r="78" ht="81.0" customHeight="1">
      <c r="A78" s="11"/>
      <c r="C78" s="22" t="s">
        <v>260</v>
      </c>
      <c r="D78" s="22" t="s">
        <v>47</v>
      </c>
      <c r="E78" s="23" t="s">
        <v>261</v>
      </c>
      <c r="F78" s="24" t="s">
        <v>60</v>
      </c>
      <c r="G78" s="23" t="s">
        <v>259</v>
      </c>
      <c r="H78" s="23" t="s">
        <v>24</v>
      </c>
      <c r="I78" s="25" t="s">
        <v>254</v>
      </c>
    </row>
    <row r="79" ht="111.0" customHeight="1">
      <c r="A79" s="45" t="str">
        <f>RAN!D14</f>
        <v>MOD06 - Dashboard gerencial</v>
      </c>
      <c r="B79" s="46" t="str">
        <f>RAN!A14&amp;" - "&amp;RAN!C14</f>
        <v>RAN13 - O sistema deve apresentar indicadores para acompanhar TCCs, orientações e produção científica.</v>
      </c>
      <c r="C79" s="47" t="s">
        <v>262</v>
      </c>
      <c r="D79" s="47" t="s">
        <v>47</v>
      </c>
      <c r="E79" s="48" t="s">
        <v>263</v>
      </c>
      <c r="F79" s="49" t="s">
        <v>12</v>
      </c>
      <c r="G79" s="48" t="s">
        <v>264</v>
      </c>
      <c r="H79" s="48" t="s">
        <v>24</v>
      </c>
      <c r="I79" s="50" t="s">
        <v>265</v>
      </c>
    </row>
    <row r="80" ht="261.0" customHeight="1">
      <c r="A80" s="11"/>
      <c r="C80" s="12" t="s">
        <v>266</v>
      </c>
      <c r="D80" s="6" t="s">
        <v>267</v>
      </c>
      <c r="E80" s="9" t="s">
        <v>268</v>
      </c>
      <c r="F80" s="8" t="s">
        <v>12</v>
      </c>
      <c r="G80" s="9" t="s">
        <v>269</v>
      </c>
      <c r="H80" s="9" t="s">
        <v>31</v>
      </c>
      <c r="I80" s="10" t="s">
        <v>265</v>
      </c>
    </row>
    <row r="81" ht="156.0" customHeight="1">
      <c r="A81" s="11"/>
      <c r="C81" s="12" t="s">
        <v>270</v>
      </c>
      <c r="D81" s="6" t="s">
        <v>267</v>
      </c>
      <c r="E81" s="9" t="s">
        <v>271</v>
      </c>
      <c r="F81" s="8" t="s">
        <v>41</v>
      </c>
      <c r="G81" s="9" t="s">
        <v>272</v>
      </c>
      <c r="H81" s="9" t="s">
        <v>31</v>
      </c>
      <c r="I81" s="10" t="s">
        <v>265</v>
      </c>
    </row>
    <row r="82" ht="201.0" customHeight="1">
      <c r="A82" s="11"/>
      <c r="C82" s="6" t="s">
        <v>273</v>
      </c>
      <c r="D82" s="6" t="s">
        <v>267</v>
      </c>
      <c r="E82" s="9" t="s">
        <v>274</v>
      </c>
      <c r="F82" s="8" t="s">
        <v>12</v>
      </c>
      <c r="G82" s="9" t="s">
        <v>275</v>
      </c>
      <c r="H82" s="9" t="s">
        <v>31</v>
      </c>
      <c r="I82" s="10" t="s">
        <v>265</v>
      </c>
    </row>
    <row r="83" ht="201.0" customHeight="1">
      <c r="A83" s="11"/>
      <c r="C83" s="6" t="s">
        <v>276</v>
      </c>
      <c r="D83" s="6" t="s">
        <v>267</v>
      </c>
      <c r="E83" s="9" t="s">
        <v>277</v>
      </c>
      <c r="F83" s="8" t="s">
        <v>41</v>
      </c>
      <c r="G83" s="9" t="s">
        <v>278</v>
      </c>
      <c r="H83" s="9" t="s">
        <v>279</v>
      </c>
      <c r="I83" s="10" t="s">
        <v>265</v>
      </c>
    </row>
    <row r="84" ht="126.0" customHeight="1">
      <c r="A84" s="11"/>
      <c r="C84" s="6" t="s">
        <v>280</v>
      </c>
      <c r="D84" s="6" t="s">
        <v>267</v>
      </c>
      <c r="E84" s="9" t="s">
        <v>281</v>
      </c>
      <c r="F84" s="24" t="s">
        <v>41</v>
      </c>
      <c r="G84" s="9" t="s">
        <v>278</v>
      </c>
      <c r="H84" s="9" t="s">
        <v>279</v>
      </c>
      <c r="I84" s="10" t="s">
        <v>265</v>
      </c>
    </row>
    <row r="85" ht="66.0" customHeight="1">
      <c r="A85" s="51" t="str">
        <f>RAN!D15</f>
        <v>MOD07 - Agenda das apresentações</v>
      </c>
      <c r="B85" s="52" t="str">
        <f>RAN!A15&amp;" - "&amp;RAN!C15</f>
        <v>RAN14 - O sistema deve divulgar a agenda de apresentações de TCC a partir dos dados das defesas.</v>
      </c>
      <c r="C85" s="53" t="s">
        <v>282</v>
      </c>
      <c r="D85" s="53" t="s">
        <v>267</v>
      </c>
      <c r="E85" s="54" t="s">
        <v>283</v>
      </c>
      <c r="F85" s="55" t="s">
        <v>12</v>
      </c>
      <c r="G85" s="54" t="s">
        <v>284</v>
      </c>
      <c r="H85" s="54" t="s">
        <v>31</v>
      </c>
      <c r="I85" s="56" t="s">
        <v>285</v>
      </c>
    </row>
    <row r="86" ht="81.0" customHeight="1">
      <c r="A86" s="11"/>
      <c r="C86" s="22" t="s">
        <v>286</v>
      </c>
      <c r="D86" s="26" t="s">
        <v>267</v>
      </c>
      <c r="E86" s="23" t="s">
        <v>287</v>
      </c>
      <c r="F86" s="24" t="s">
        <v>41</v>
      </c>
      <c r="G86" s="23" t="s">
        <v>288</v>
      </c>
      <c r="H86" s="23" t="s">
        <v>31</v>
      </c>
      <c r="I86" s="25" t="s">
        <v>285</v>
      </c>
    </row>
    <row r="87" ht="111.0" customHeight="1">
      <c r="A87" s="11"/>
      <c r="C87" s="22" t="s">
        <v>289</v>
      </c>
      <c r="D87" s="22" t="s">
        <v>267</v>
      </c>
      <c r="E87" s="23" t="s">
        <v>290</v>
      </c>
      <c r="F87" s="24" t="s">
        <v>41</v>
      </c>
      <c r="G87" s="23" t="s">
        <v>291</v>
      </c>
      <c r="H87" s="23" t="s">
        <v>292</v>
      </c>
      <c r="I87" s="25" t="s">
        <v>285</v>
      </c>
    </row>
    <row r="88" ht="81.0" customHeight="1">
      <c r="A88" s="14"/>
      <c r="B88" s="15"/>
      <c r="C88" s="27" t="s">
        <v>293</v>
      </c>
      <c r="D88" s="57" t="s">
        <v>267</v>
      </c>
      <c r="E88" s="28" t="s">
        <v>294</v>
      </c>
      <c r="F88" s="29" t="s">
        <v>12</v>
      </c>
      <c r="G88" s="28" t="s">
        <v>284</v>
      </c>
      <c r="H88" s="28" t="s">
        <v>137</v>
      </c>
      <c r="I88" s="30" t="s">
        <v>285</v>
      </c>
    </row>
    <row r="89" ht="21.0" customHeight="1">
      <c r="A89" s="58"/>
      <c r="B89" s="5"/>
    </row>
    <row r="90" ht="21.0" customHeight="1">
      <c r="A90" s="59"/>
      <c r="B90" s="59"/>
    </row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31:B35"/>
    <mergeCell ref="B36:B38"/>
    <mergeCell ref="B39:B43"/>
    <mergeCell ref="B44:B48"/>
    <mergeCell ref="A2:A15"/>
    <mergeCell ref="B2:B15"/>
    <mergeCell ref="A16:A18"/>
    <mergeCell ref="B16:B18"/>
    <mergeCell ref="A19:A48"/>
    <mergeCell ref="B19:B25"/>
    <mergeCell ref="B26:B30"/>
    <mergeCell ref="A79:A84"/>
    <mergeCell ref="A85:A88"/>
    <mergeCell ref="A49:A74"/>
    <mergeCell ref="B49:B65"/>
    <mergeCell ref="B66:B70"/>
    <mergeCell ref="B71:B74"/>
    <mergeCell ref="A75:A78"/>
    <mergeCell ref="B75:B78"/>
    <mergeCell ref="B79:B84"/>
    <mergeCell ref="B85:B88"/>
  </mergeCells>
  <dataValidations>
    <dataValidation type="list" allowBlank="1" sqref="F2:F88">
      <formula1>"Must,Should,Could,Won't"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13"/>
    <col customWidth="1" min="2" max="2" width="12.63"/>
    <col customWidth="1" min="3" max="3" width="18.75"/>
    <col customWidth="1" min="4" max="4" width="64.5"/>
    <col customWidth="1" min="5" max="5" width="73.0"/>
    <col customWidth="1" min="6" max="6" width="38.75"/>
    <col customWidth="1" min="7" max="7" width="33.88"/>
  </cols>
  <sheetData>
    <row r="1" ht="21.0" customHeight="1">
      <c r="A1" s="60" t="s">
        <v>295</v>
      </c>
      <c r="B1" s="60" t="s">
        <v>296</v>
      </c>
      <c r="C1" s="60" t="s">
        <v>297</v>
      </c>
      <c r="D1" s="60" t="s">
        <v>298</v>
      </c>
      <c r="E1" s="60" t="s">
        <v>299</v>
      </c>
      <c r="F1" s="60" t="s">
        <v>300</v>
      </c>
      <c r="G1" s="60" t="s">
        <v>301</v>
      </c>
      <c r="H1" s="60" t="s">
        <v>8</v>
      </c>
    </row>
    <row r="2" ht="66.0" customHeight="1">
      <c r="A2" s="61" t="s">
        <v>302</v>
      </c>
      <c r="B2" s="61" t="s">
        <v>303</v>
      </c>
      <c r="C2" s="61" t="s">
        <v>39</v>
      </c>
      <c r="D2" s="62" t="s">
        <v>304</v>
      </c>
      <c r="E2" s="61" t="s">
        <v>305</v>
      </c>
      <c r="F2" s="61" t="s">
        <v>306</v>
      </c>
      <c r="G2" s="61" t="s">
        <v>307</v>
      </c>
      <c r="H2" s="61" t="s">
        <v>308</v>
      </c>
    </row>
    <row r="3" ht="66.0" customHeight="1">
      <c r="A3" s="63" t="s">
        <v>309</v>
      </c>
      <c r="B3" s="63" t="s">
        <v>310</v>
      </c>
      <c r="C3" s="63" t="s">
        <v>311</v>
      </c>
      <c r="D3" s="63" t="s">
        <v>312</v>
      </c>
      <c r="E3" s="63" t="s">
        <v>313</v>
      </c>
      <c r="F3" s="63" t="s">
        <v>314</v>
      </c>
      <c r="G3" s="63" t="s">
        <v>315</v>
      </c>
      <c r="H3" s="63" t="s">
        <v>316</v>
      </c>
    </row>
    <row r="4" ht="51.0" customHeight="1">
      <c r="A4" s="61" t="s">
        <v>317</v>
      </c>
      <c r="B4" s="61" t="s">
        <v>318</v>
      </c>
      <c r="C4" s="61" t="s">
        <v>319</v>
      </c>
      <c r="D4" s="61" t="s">
        <v>320</v>
      </c>
      <c r="E4" s="61" t="s">
        <v>321</v>
      </c>
      <c r="F4" s="61" t="s">
        <v>322</v>
      </c>
      <c r="G4" s="61" t="s">
        <v>323</v>
      </c>
      <c r="H4" s="61" t="s">
        <v>324</v>
      </c>
    </row>
    <row r="5" ht="66.0" customHeight="1">
      <c r="A5" s="63" t="s">
        <v>325</v>
      </c>
      <c r="B5" s="63" t="s">
        <v>326</v>
      </c>
      <c r="C5" s="63" t="s">
        <v>327</v>
      </c>
      <c r="D5" s="63" t="s">
        <v>328</v>
      </c>
      <c r="E5" s="63" t="s">
        <v>329</v>
      </c>
      <c r="F5" s="63" t="s">
        <v>330</v>
      </c>
      <c r="G5" s="63" t="s">
        <v>331</v>
      </c>
      <c r="H5" s="63" t="s">
        <v>332</v>
      </c>
    </row>
    <row r="6" ht="51.0" customHeight="1">
      <c r="A6" s="61" t="s">
        <v>333</v>
      </c>
      <c r="B6" s="61" t="s">
        <v>334</v>
      </c>
      <c r="C6" s="61" t="s">
        <v>335</v>
      </c>
      <c r="D6" s="61" t="s">
        <v>336</v>
      </c>
      <c r="E6" s="61" t="s">
        <v>337</v>
      </c>
      <c r="F6" s="61" t="s">
        <v>338</v>
      </c>
      <c r="G6" s="61" t="s">
        <v>339</v>
      </c>
      <c r="H6" s="61" t="s">
        <v>340</v>
      </c>
    </row>
    <row r="7" ht="111.0" customHeight="1">
      <c r="A7" s="63" t="s">
        <v>341</v>
      </c>
      <c r="B7" s="63" t="s">
        <v>342</v>
      </c>
      <c r="C7" s="63" t="s">
        <v>343</v>
      </c>
      <c r="D7" s="63" t="s">
        <v>344</v>
      </c>
      <c r="E7" s="63" t="s">
        <v>345</v>
      </c>
      <c r="F7" s="63" t="s">
        <v>346</v>
      </c>
      <c r="G7" s="63" t="s">
        <v>347</v>
      </c>
      <c r="H7" s="63" t="s">
        <v>348</v>
      </c>
    </row>
    <row r="8" ht="81.0" customHeight="1">
      <c r="A8" s="61" t="s">
        <v>349</v>
      </c>
      <c r="B8" s="61" t="s">
        <v>350</v>
      </c>
      <c r="C8" s="61" t="s">
        <v>351</v>
      </c>
      <c r="D8" s="61" t="s">
        <v>352</v>
      </c>
      <c r="E8" s="61" t="s">
        <v>353</v>
      </c>
      <c r="F8" s="61" t="s">
        <v>354</v>
      </c>
      <c r="G8" s="61" t="s">
        <v>355</v>
      </c>
      <c r="H8" s="61" t="s">
        <v>356</v>
      </c>
    </row>
    <row r="9" ht="51.0" customHeight="1">
      <c r="A9" s="63" t="s">
        <v>357</v>
      </c>
      <c r="B9" s="63" t="s">
        <v>358</v>
      </c>
      <c r="C9" s="63" t="s">
        <v>359</v>
      </c>
      <c r="D9" s="63" t="s">
        <v>360</v>
      </c>
      <c r="E9" s="63" t="s">
        <v>361</v>
      </c>
      <c r="F9" s="63" t="s">
        <v>362</v>
      </c>
      <c r="G9" s="63" t="s">
        <v>363</v>
      </c>
      <c r="H9" s="63" t="s">
        <v>364</v>
      </c>
    </row>
    <row r="10" ht="66.0" customHeight="1">
      <c r="A10" s="64" t="s">
        <v>365</v>
      </c>
      <c r="B10" s="64" t="s">
        <v>366</v>
      </c>
      <c r="C10" s="64" t="s">
        <v>367</v>
      </c>
      <c r="D10" s="64" t="s">
        <v>368</v>
      </c>
      <c r="E10" s="64" t="s">
        <v>369</v>
      </c>
      <c r="F10" s="64" t="s">
        <v>370</v>
      </c>
      <c r="G10" s="64" t="s">
        <v>371</v>
      </c>
      <c r="H10" s="64" t="s">
        <v>372</v>
      </c>
    </row>
    <row r="11" ht="96.0" customHeight="1">
      <c r="A11" s="64" t="s">
        <v>373</v>
      </c>
      <c r="B11" s="64" t="s">
        <v>374</v>
      </c>
      <c r="C11" s="64" t="s">
        <v>375</v>
      </c>
      <c r="D11" s="64" t="s">
        <v>376</v>
      </c>
      <c r="E11" s="64" t="s">
        <v>377</v>
      </c>
      <c r="F11" s="64" t="s">
        <v>378</v>
      </c>
      <c r="G11" s="64" t="s">
        <v>379</v>
      </c>
      <c r="H11" s="64" t="s">
        <v>380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2.0"/>
    <col customWidth="1" min="3" max="3" width="69.25"/>
    <col customWidth="1" min="4" max="6" width="12.63"/>
  </cols>
  <sheetData>
    <row r="1" ht="21.0" customHeight="1">
      <c r="A1" s="60" t="s">
        <v>381</v>
      </c>
      <c r="B1" s="60" t="s">
        <v>382</v>
      </c>
      <c r="C1" s="60" t="s">
        <v>383</v>
      </c>
    </row>
    <row r="2" ht="21.0" customHeight="1">
      <c r="A2" s="61" t="s">
        <v>380</v>
      </c>
      <c r="B2" s="61" t="s">
        <v>384</v>
      </c>
      <c r="C2" s="61" t="s">
        <v>385</v>
      </c>
    </row>
    <row r="3" ht="36.0" customHeight="1">
      <c r="A3" s="63" t="s">
        <v>386</v>
      </c>
      <c r="B3" s="63" t="s">
        <v>387</v>
      </c>
      <c r="C3" s="63" t="s">
        <v>388</v>
      </c>
    </row>
    <row r="4" ht="21.0" customHeight="1">
      <c r="A4" s="61" t="s">
        <v>389</v>
      </c>
      <c r="B4" s="61" t="s">
        <v>390</v>
      </c>
      <c r="C4" s="61" t="s">
        <v>391</v>
      </c>
    </row>
    <row r="5" ht="21.0" customHeight="1">
      <c r="A5" s="63" t="s">
        <v>392</v>
      </c>
      <c r="B5" s="63" t="s">
        <v>393</v>
      </c>
      <c r="C5" s="63" t="s">
        <v>394</v>
      </c>
    </row>
    <row r="6" ht="36.0" customHeight="1">
      <c r="A6" s="61" t="s">
        <v>395</v>
      </c>
      <c r="B6" s="61" t="s">
        <v>396</v>
      </c>
      <c r="C6" s="61" t="s">
        <v>397</v>
      </c>
    </row>
    <row r="7" ht="51.0" customHeight="1">
      <c r="A7" s="63" t="s">
        <v>398</v>
      </c>
      <c r="B7" s="63" t="s">
        <v>399</v>
      </c>
      <c r="C7" s="63" t="s">
        <v>400</v>
      </c>
    </row>
    <row r="8" ht="36.0" customHeight="1">
      <c r="A8" s="61" t="s">
        <v>401</v>
      </c>
      <c r="B8" s="61" t="s">
        <v>402</v>
      </c>
      <c r="C8" s="61" t="s">
        <v>403</v>
      </c>
    </row>
    <row r="9" ht="36.0" customHeight="1">
      <c r="A9" s="63" t="s">
        <v>404</v>
      </c>
      <c r="B9" s="63" t="s">
        <v>405</v>
      </c>
      <c r="C9" s="63" t="s">
        <v>406</v>
      </c>
    </row>
    <row r="10" ht="36.0" customHeight="1">
      <c r="A10" s="61" t="s">
        <v>407</v>
      </c>
      <c r="B10" s="61" t="s">
        <v>408</v>
      </c>
      <c r="C10" s="61" t="s">
        <v>409</v>
      </c>
    </row>
    <row r="11" ht="21.0" customHeight="1">
      <c r="A11" s="63" t="s">
        <v>410</v>
      </c>
      <c r="B11" s="63" t="s">
        <v>411</v>
      </c>
      <c r="C11" s="63" t="s">
        <v>412</v>
      </c>
    </row>
    <row r="12" ht="36.0" customHeight="1">
      <c r="A12" s="61" t="s">
        <v>413</v>
      </c>
      <c r="B12" s="61" t="s">
        <v>414</v>
      </c>
      <c r="C12" s="61" t="s">
        <v>415</v>
      </c>
    </row>
    <row r="13" ht="36.0" customHeight="1">
      <c r="A13" s="63" t="s">
        <v>416</v>
      </c>
      <c r="B13" s="63" t="s">
        <v>417</v>
      </c>
      <c r="C13" s="63" t="s">
        <v>418</v>
      </c>
    </row>
    <row r="14" ht="51.0" customHeight="1">
      <c r="A14" s="61" t="s">
        <v>419</v>
      </c>
      <c r="B14" s="61" t="s">
        <v>420</v>
      </c>
      <c r="C14" s="61" t="s">
        <v>421</v>
      </c>
    </row>
    <row r="15" ht="36.0" customHeight="1">
      <c r="A15" s="63" t="s">
        <v>422</v>
      </c>
      <c r="B15" s="63" t="s">
        <v>423</v>
      </c>
      <c r="C15" s="63" t="s">
        <v>424</v>
      </c>
    </row>
    <row r="16" ht="21.0" customHeight="1">
      <c r="A16" s="61" t="s">
        <v>425</v>
      </c>
      <c r="B16" s="61" t="s">
        <v>426</v>
      </c>
      <c r="C16" s="61" t="s">
        <v>427</v>
      </c>
    </row>
    <row r="17" ht="51.0" customHeight="1">
      <c r="A17" s="63" t="s">
        <v>428</v>
      </c>
      <c r="B17" s="63" t="s">
        <v>429</v>
      </c>
      <c r="C17" s="63" t="s">
        <v>430</v>
      </c>
    </row>
    <row r="18" ht="36.0" customHeight="1">
      <c r="A18" s="61" t="s">
        <v>431</v>
      </c>
      <c r="B18" s="61" t="s">
        <v>432</v>
      </c>
      <c r="C18" s="61" t="s">
        <v>433</v>
      </c>
    </row>
    <row r="19" ht="36.0" customHeight="1">
      <c r="A19" s="63" t="s">
        <v>434</v>
      </c>
      <c r="B19" s="63" t="s">
        <v>435</v>
      </c>
      <c r="C19" s="63" t="s">
        <v>436</v>
      </c>
    </row>
    <row r="20" ht="51.0" customHeight="1">
      <c r="A20" s="65" t="s">
        <v>372</v>
      </c>
      <c r="B20" s="65" t="s">
        <v>437</v>
      </c>
      <c r="C20" s="65" t="s">
        <v>438</v>
      </c>
    </row>
    <row r="21" ht="51.0" customHeight="1">
      <c r="A21" s="65" t="s">
        <v>439</v>
      </c>
      <c r="B21" s="65" t="s">
        <v>440</v>
      </c>
      <c r="C21" s="66" t="s">
        <v>441</v>
      </c>
    </row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5"/>
    <col customWidth="1" min="2" max="2" width="27.38"/>
    <col customWidth="1" min="3" max="3" width="62.25"/>
    <col customWidth="1" min="4" max="4" width="72.13"/>
    <col customWidth="1" min="5" max="6" width="12.63"/>
  </cols>
  <sheetData>
    <row r="1" ht="21.0" customHeight="1">
      <c r="A1" s="60" t="s">
        <v>442</v>
      </c>
      <c r="B1" s="60" t="s">
        <v>382</v>
      </c>
      <c r="C1" s="60" t="s">
        <v>443</v>
      </c>
      <c r="D1" s="60" t="s">
        <v>0</v>
      </c>
    </row>
    <row r="2" ht="51.0" customHeight="1">
      <c r="A2" s="67" t="s">
        <v>444</v>
      </c>
      <c r="B2" s="68" t="s">
        <v>445</v>
      </c>
      <c r="C2" s="68" t="s">
        <v>446</v>
      </c>
      <c r="D2" s="69" t="s">
        <v>447</v>
      </c>
    </row>
    <row r="3" ht="36.0" customHeight="1">
      <c r="A3" s="70" t="s">
        <v>448</v>
      </c>
      <c r="B3" s="71" t="s">
        <v>449</v>
      </c>
      <c r="C3" s="72" t="s">
        <v>450</v>
      </c>
      <c r="D3" s="73" t="s">
        <v>451</v>
      </c>
    </row>
    <row r="4" ht="36.0" customHeight="1">
      <c r="A4" s="67" t="s">
        <v>452</v>
      </c>
      <c r="B4" s="68" t="s">
        <v>453</v>
      </c>
      <c r="C4" s="68" t="s">
        <v>454</v>
      </c>
      <c r="D4" s="69" t="s">
        <v>455</v>
      </c>
    </row>
    <row r="5" ht="51.0" customHeight="1">
      <c r="A5" s="70" t="s">
        <v>456</v>
      </c>
      <c r="B5" s="71" t="s">
        <v>457</v>
      </c>
      <c r="C5" s="71" t="s">
        <v>458</v>
      </c>
      <c r="D5" s="73" t="s">
        <v>455</v>
      </c>
    </row>
    <row r="6" ht="36.0" customHeight="1">
      <c r="A6" s="67" t="s">
        <v>459</v>
      </c>
      <c r="B6" s="68" t="s">
        <v>460</v>
      </c>
      <c r="C6" s="68" t="s">
        <v>461</v>
      </c>
      <c r="D6" s="69" t="s">
        <v>455</v>
      </c>
    </row>
    <row r="7" ht="36.0" customHeight="1">
      <c r="A7" s="70" t="s">
        <v>462</v>
      </c>
      <c r="B7" s="71" t="s">
        <v>463</v>
      </c>
      <c r="C7" s="71" t="s">
        <v>464</v>
      </c>
      <c r="D7" s="73" t="s">
        <v>455</v>
      </c>
    </row>
    <row r="8" ht="36.0" customHeight="1">
      <c r="A8" s="67" t="s">
        <v>465</v>
      </c>
      <c r="B8" s="68" t="s">
        <v>466</v>
      </c>
      <c r="C8" s="68" t="s">
        <v>467</v>
      </c>
      <c r="D8" s="69" t="s">
        <v>455</v>
      </c>
    </row>
    <row r="9" ht="51.0" customHeight="1">
      <c r="A9" s="70" t="s">
        <v>468</v>
      </c>
      <c r="B9" s="71" t="s">
        <v>469</v>
      </c>
      <c r="C9" s="71" t="s">
        <v>470</v>
      </c>
      <c r="D9" s="73" t="s">
        <v>455</v>
      </c>
    </row>
    <row r="10" ht="36.0" customHeight="1">
      <c r="A10" s="67" t="s">
        <v>471</v>
      </c>
      <c r="B10" s="68" t="s">
        <v>472</v>
      </c>
      <c r="C10" s="68" t="s">
        <v>473</v>
      </c>
      <c r="D10" s="69" t="s">
        <v>474</v>
      </c>
    </row>
    <row r="11" ht="51.0" customHeight="1">
      <c r="A11" s="70" t="s">
        <v>475</v>
      </c>
      <c r="B11" s="71" t="s">
        <v>476</v>
      </c>
      <c r="C11" s="71" t="s">
        <v>477</v>
      </c>
      <c r="D11" s="73" t="s">
        <v>474</v>
      </c>
    </row>
    <row r="12" ht="36.0" customHeight="1">
      <c r="A12" s="74" t="s">
        <v>478</v>
      </c>
      <c r="B12" s="75" t="s">
        <v>479</v>
      </c>
      <c r="C12" s="75" t="s">
        <v>480</v>
      </c>
      <c r="D12" s="76" t="s">
        <v>474</v>
      </c>
    </row>
    <row r="13" ht="51.0" customHeight="1">
      <c r="A13" s="77" t="s">
        <v>481</v>
      </c>
      <c r="B13" s="77" t="s">
        <v>482</v>
      </c>
      <c r="C13" s="77" t="s">
        <v>483</v>
      </c>
      <c r="D13" s="77" t="s">
        <v>484</v>
      </c>
    </row>
    <row r="14" ht="36.0" customHeight="1">
      <c r="A14" s="78" t="s">
        <v>485</v>
      </c>
      <c r="B14" s="78" t="s">
        <v>486</v>
      </c>
      <c r="C14" s="78" t="s">
        <v>487</v>
      </c>
      <c r="D14" s="78" t="s">
        <v>488</v>
      </c>
    </row>
    <row r="15" ht="36.0" customHeight="1">
      <c r="A15" s="78" t="s">
        <v>489</v>
      </c>
      <c r="B15" s="78" t="s">
        <v>490</v>
      </c>
      <c r="C15" s="78" t="s">
        <v>491</v>
      </c>
      <c r="D15" s="78" t="s">
        <v>492</v>
      </c>
    </row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28.0"/>
    <col customWidth="1" min="3" max="3" width="63.63"/>
    <col customWidth="1" min="4" max="4" width="65.63"/>
    <col customWidth="1" min="5" max="6" width="12.63"/>
  </cols>
  <sheetData>
    <row r="1" ht="21.0" customHeight="1">
      <c r="A1" s="60" t="s">
        <v>493</v>
      </c>
      <c r="B1" s="60" t="s">
        <v>382</v>
      </c>
      <c r="C1" s="60" t="s">
        <v>494</v>
      </c>
      <c r="D1" s="60" t="s">
        <v>495</v>
      </c>
    </row>
    <row r="2" ht="36.0" customHeight="1">
      <c r="A2" s="79" t="s">
        <v>496</v>
      </c>
      <c r="B2" s="80" t="s">
        <v>497</v>
      </c>
      <c r="C2" s="80" t="s">
        <v>498</v>
      </c>
      <c r="D2" s="81" t="s">
        <v>499</v>
      </c>
    </row>
    <row r="3" ht="36.0" customHeight="1">
      <c r="A3" s="82" t="s">
        <v>500</v>
      </c>
      <c r="B3" s="83" t="s">
        <v>501</v>
      </c>
      <c r="C3" s="83" t="s">
        <v>502</v>
      </c>
      <c r="D3" s="84" t="s">
        <v>503</v>
      </c>
    </row>
    <row r="4" ht="66.0" customHeight="1">
      <c r="A4" s="79" t="s">
        <v>504</v>
      </c>
      <c r="B4" s="80" t="s">
        <v>505</v>
      </c>
      <c r="C4" s="85" t="s">
        <v>506</v>
      </c>
      <c r="D4" s="81" t="s">
        <v>507</v>
      </c>
    </row>
    <row r="5" ht="36.0" customHeight="1">
      <c r="A5" s="82" t="s">
        <v>508</v>
      </c>
      <c r="B5" s="83" t="s">
        <v>509</v>
      </c>
      <c r="C5" s="83" t="s">
        <v>510</v>
      </c>
      <c r="D5" s="84" t="s">
        <v>511</v>
      </c>
    </row>
    <row r="6" ht="51.0" customHeight="1">
      <c r="A6" s="79" t="s">
        <v>512</v>
      </c>
      <c r="B6" s="80" t="s">
        <v>513</v>
      </c>
      <c r="C6" s="80" t="s">
        <v>514</v>
      </c>
      <c r="D6" s="81" t="s">
        <v>515</v>
      </c>
    </row>
    <row r="7" ht="36.0" customHeight="1">
      <c r="A7" s="82" t="s">
        <v>516</v>
      </c>
      <c r="B7" s="83" t="s">
        <v>517</v>
      </c>
      <c r="C7" s="83" t="s">
        <v>518</v>
      </c>
      <c r="D7" s="84" t="s">
        <v>519</v>
      </c>
    </row>
    <row r="8" ht="126.0" customHeight="1">
      <c r="A8" s="79" t="s">
        <v>520</v>
      </c>
      <c r="B8" s="80" t="s">
        <v>521</v>
      </c>
      <c r="C8" s="85" t="s">
        <v>522</v>
      </c>
      <c r="D8" s="81" t="s">
        <v>523</v>
      </c>
    </row>
    <row r="9" ht="51.0" customHeight="1">
      <c r="A9" s="82" t="s">
        <v>524</v>
      </c>
      <c r="B9" s="83" t="s">
        <v>525</v>
      </c>
      <c r="C9" s="83" t="s">
        <v>526</v>
      </c>
      <c r="D9" s="84" t="s">
        <v>527</v>
      </c>
    </row>
    <row r="10" ht="51.0" customHeight="1">
      <c r="A10" s="79" t="s">
        <v>528</v>
      </c>
      <c r="B10" s="80" t="s">
        <v>529</v>
      </c>
      <c r="C10" s="80" t="s">
        <v>530</v>
      </c>
      <c r="D10" s="81" t="s">
        <v>531</v>
      </c>
    </row>
    <row r="11" ht="126.0" customHeight="1">
      <c r="A11" s="82" t="s">
        <v>532</v>
      </c>
      <c r="B11" s="83" t="s">
        <v>533</v>
      </c>
      <c r="C11" s="83" t="s">
        <v>534</v>
      </c>
      <c r="D11" s="84" t="s">
        <v>535</v>
      </c>
    </row>
    <row r="12" ht="51.0" customHeight="1">
      <c r="A12" s="79" t="s">
        <v>536</v>
      </c>
      <c r="B12" s="80" t="s">
        <v>537</v>
      </c>
      <c r="C12" s="80" t="s">
        <v>538</v>
      </c>
      <c r="D12" s="81" t="s">
        <v>539</v>
      </c>
    </row>
    <row r="13" ht="81.0" customHeight="1">
      <c r="A13" s="82" t="s">
        <v>540</v>
      </c>
      <c r="B13" s="83" t="s">
        <v>541</v>
      </c>
      <c r="C13" s="83" t="s">
        <v>542</v>
      </c>
      <c r="D13" s="84" t="s">
        <v>543</v>
      </c>
    </row>
    <row r="14" ht="81.0" customHeight="1">
      <c r="A14" s="79" t="s">
        <v>544</v>
      </c>
      <c r="B14" s="80" t="s">
        <v>545</v>
      </c>
      <c r="C14" s="80" t="s">
        <v>546</v>
      </c>
      <c r="D14" s="81" t="s">
        <v>547</v>
      </c>
    </row>
    <row r="15" ht="111.0" customHeight="1">
      <c r="A15" s="82" t="s">
        <v>548</v>
      </c>
      <c r="B15" s="83" t="s">
        <v>414</v>
      </c>
      <c r="C15" s="83" t="s">
        <v>549</v>
      </c>
      <c r="D15" s="84" t="s">
        <v>550</v>
      </c>
    </row>
    <row r="16" ht="66.0" customHeight="1">
      <c r="A16" s="79" t="s">
        <v>551</v>
      </c>
      <c r="B16" s="80" t="s">
        <v>552</v>
      </c>
      <c r="C16" s="80" t="s">
        <v>553</v>
      </c>
      <c r="D16" s="81" t="s">
        <v>554</v>
      </c>
    </row>
    <row r="17" ht="51.0" customHeight="1">
      <c r="A17" s="82" t="s">
        <v>555</v>
      </c>
      <c r="B17" s="83" t="s">
        <v>556</v>
      </c>
      <c r="C17" s="86" t="s">
        <v>557</v>
      </c>
      <c r="D17" s="84" t="s">
        <v>558</v>
      </c>
    </row>
    <row r="18" ht="66.0" customHeight="1">
      <c r="A18" s="87" t="s">
        <v>559</v>
      </c>
      <c r="B18" s="88" t="s">
        <v>423</v>
      </c>
      <c r="C18" s="88" t="s">
        <v>560</v>
      </c>
      <c r="D18" s="89" t="s">
        <v>561</v>
      </c>
    </row>
    <row r="19" ht="126.0" customHeight="1">
      <c r="A19" s="90" t="s">
        <v>562</v>
      </c>
      <c r="B19" s="63" t="s">
        <v>563</v>
      </c>
      <c r="C19" s="63" t="s">
        <v>564</v>
      </c>
      <c r="D19" s="63" t="s">
        <v>565</v>
      </c>
    </row>
    <row r="20" ht="51.0" customHeight="1">
      <c r="A20" s="91" t="s">
        <v>566</v>
      </c>
      <c r="B20" s="65" t="s">
        <v>567</v>
      </c>
      <c r="C20" s="65" t="s">
        <v>568</v>
      </c>
      <c r="D20" s="65" t="s">
        <v>569</v>
      </c>
    </row>
    <row r="21" ht="66.0" customHeight="1">
      <c r="A21" s="91" t="s">
        <v>570</v>
      </c>
      <c r="B21" s="65" t="s">
        <v>571</v>
      </c>
      <c r="C21" s="65" t="s">
        <v>572</v>
      </c>
      <c r="D21" s="65" t="s">
        <v>573</v>
      </c>
    </row>
    <row r="22" ht="66.0" customHeight="1">
      <c r="A22" s="91" t="s">
        <v>574</v>
      </c>
      <c r="B22" s="65" t="s">
        <v>575</v>
      </c>
      <c r="C22" s="64" t="s">
        <v>576</v>
      </c>
      <c r="D22" s="92" t="s">
        <v>577</v>
      </c>
    </row>
    <row r="23" ht="51.0" customHeight="1">
      <c r="A23" s="91" t="s">
        <v>578</v>
      </c>
      <c r="B23" s="65" t="s">
        <v>579</v>
      </c>
      <c r="C23" s="65" t="s">
        <v>580</v>
      </c>
      <c r="D23" s="65" t="s">
        <v>581</v>
      </c>
    </row>
    <row r="24" ht="51.0" customHeight="1">
      <c r="A24" s="91" t="s">
        <v>582</v>
      </c>
      <c r="B24" s="65" t="s">
        <v>583</v>
      </c>
      <c r="C24" s="65" t="s">
        <v>584</v>
      </c>
      <c r="D24" s="65" t="s">
        <v>371</v>
      </c>
    </row>
    <row r="25" ht="51.0" customHeight="1">
      <c r="A25" s="91" t="s">
        <v>585</v>
      </c>
      <c r="B25" s="65" t="s">
        <v>586</v>
      </c>
      <c r="C25" s="65" t="s">
        <v>587</v>
      </c>
      <c r="D25" s="65" t="s">
        <v>588</v>
      </c>
    </row>
    <row r="26" ht="81.0" customHeight="1">
      <c r="A26" s="91" t="s">
        <v>589</v>
      </c>
      <c r="B26" s="65" t="s">
        <v>590</v>
      </c>
      <c r="C26" s="93" t="s">
        <v>591</v>
      </c>
      <c r="D26" s="65" t="s">
        <v>592</v>
      </c>
    </row>
    <row r="27" ht="111.0" customHeight="1">
      <c r="A27" s="91" t="s">
        <v>593</v>
      </c>
      <c r="B27" s="65" t="s">
        <v>594</v>
      </c>
      <c r="C27" s="93" t="s">
        <v>595</v>
      </c>
      <c r="D27" s="65" t="s">
        <v>596</v>
      </c>
    </row>
    <row r="28" ht="51.0" customHeight="1">
      <c r="A28" s="91" t="s">
        <v>597</v>
      </c>
      <c r="B28" s="65" t="s">
        <v>598</v>
      </c>
      <c r="C28" s="93" t="s">
        <v>599</v>
      </c>
      <c r="D28" s="65" t="s">
        <v>600</v>
      </c>
    </row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38"/>
    <col customWidth="1" min="2" max="2" width="12.63"/>
    <col customWidth="1" min="3" max="3" width="48.38"/>
    <col customWidth="1" min="4" max="4" width="72.25"/>
    <col customWidth="1" min="5" max="6" width="12.63"/>
  </cols>
  <sheetData>
    <row r="1" ht="21.0" customHeight="1">
      <c r="A1" s="60" t="s">
        <v>601</v>
      </c>
      <c r="B1" s="60" t="s">
        <v>382</v>
      </c>
      <c r="C1" s="60" t="s">
        <v>602</v>
      </c>
      <c r="D1" s="60" t="s">
        <v>603</v>
      </c>
    </row>
    <row r="2" ht="126.0" customHeight="1">
      <c r="A2" s="79" t="s">
        <v>604</v>
      </c>
      <c r="B2" s="80" t="s">
        <v>605</v>
      </c>
      <c r="C2" s="80" t="s">
        <v>606</v>
      </c>
      <c r="D2" s="81" t="s">
        <v>607</v>
      </c>
    </row>
    <row r="3" ht="171.0" customHeight="1">
      <c r="A3" s="82" t="s">
        <v>608</v>
      </c>
      <c r="B3" s="83" t="s">
        <v>609</v>
      </c>
      <c r="C3" s="83" t="s">
        <v>610</v>
      </c>
      <c r="D3" s="84" t="s">
        <v>611</v>
      </c>
    </row>
    <row r="4" ht="126.0" customHeight="1">
      <c r="A4" s="79" t="s">
        <v>612</v>
      </c>
      <c r="B4" s="80" t="s">
        <v>613</v>
      </c>
      <c r="C4" s="80" t="s">
        <v>614</v>
      </c>
      <c r="D4" s="81" t="s">
        <v>615</v>
      </c>
    </row>
    <row r="5" ht="141.0" customHeight="1">
      <c r="A5" s="82" t="s">
        <v>616</v>
      </c>
      <c r="B5" s="83" t="s">
        <v>617</v>
      </c>
      <c r="C5" s="83" t="s">
        <v>618</v>
      </c>
      <c r="D5" s="84" t="s">
        <v>619</v>
      </c>
    </row>
    <row r="6" ht="81.0" customHeight="1">
      <c r="A6" s="79" t="s">
        <v>620</v>
      </c>
      <c r="B6" s="80" t="s">
        <v>621</v>
      </c>
      <c r="C6" s="80" t="s">
        <v>622</v>
      </c>
      <c r="D6" s="81" t="s">
        <v>623</v>
      </c>
    </row>
    <row r="7" ht="126.0" customHeight="1">
      <c r="A7" s="94" t="s">
        <v>624</v>
      </c>
      <c r="B7" s="95" t="s">
        <v>625</v>
      </c>
      <c r="C7" s="95" t="s">
        <v>626</v>
      </c>
      <c r="D7" s="96" t="s">
        <v>627</v>
      </c>
    </row>
    <row r="8" ht="96.0" customHeight="1">
      <c r="A8" s="90" t="s">
        <v>628</v>
      </c>
      <c r="B8" s="63" t="s">
        <v>629</v>
      </c>
      <c r="C8" s="63" t="s">
        <v>630</v>
      </c>
      <c r="D8" s="63" t="s">
        <v>631</v>
      </c>
    </row>
    <row r="9" ht="21.0" customHeight="1"/>
    <row r="10" ht="21.0" customHeight="1"/>
    <row r="11" ht="21.0" customHeight="1"/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63"/>
    <col customWidth="1" min="2" max="2" width="18.0"/>
    <col customWidth="1" min="3" max="3" width="12.63"/>
    <col customWidth="1" min="4" max="4" width="16.25"/>
    <col customWidth="1" min="5" max="5" width="13.88"/>
    <col customWidth="1" min="6" max="6" width="20.25"/>
    <col customWidth="1" min="7" max="7" width="20.75"/>
  </cols>
  <sheetData>
    <row r="1" ht="21.0" customHeight="1">
      <c r="A1" s="60" t="s">
        <v>632</v>
      </c>
      <c r="B1" s="60" t="s">
        <v>633</v>
      </c>
      <c r="C1" s="60" t="s">
        <v>634</v>
      </c>
      <c r="D1" s="60" t="s">
        <v>635</v>
      </c>
      <c r="E1" s="60" t="s">
        <v>636</v>
      </c>
      <c r="F1" s="60" t="s">
        <v>637</v>
      </c>
      <c r="G1" s="60" t="s">
        <v>638</v>
      </c>
    </row>
    <row r="2" ht="51.0" customHeight="1">
      <c r="A2" s="79" t="s">
        <v>639</v>
      </c>
      <c r="B2" s="97" t="s">
        <v>640</v>
      </c>
      <c r="C2" s="97" t="s">
        <v>641</v>
      </c>
      <c r="D2" s="97" t="s">
        <v>642</v>
      </c>
      <c r="E2" s="97" t="s">
        <v>643</v>
      </c>
      <c r="F2" s="97" t="s">
        <v>644</v>
      </c>
      <c r="G2" s="98" t="s">
        <v>645</v>
      </c>
    </row>
    <row r="3" ht="51.0" customHeight="1">
      <c r="A3" s="82" t="s">
        <v>646</v>
      </c>
      <c r="B3" s="99" t="s">
        <v>647</v>
      </c>
      <c r="C3" s="99" t="s">
        <v>648</v>
      </c>
      <c r="D3" s="99" t="s">
        <v>649</v>
      </c>
      <c r="E3" s="99" t="s">
        <v>650</v>
      </c>
      <c r="F3" s="99" t="s">
        <v>651</v>
      </c>
      <c r="G3" s="100" t="s">
        <v>645</v>
      </c>
    </row>
    <row r="4" ht="36.0" customHeight="1">
      <c r="A4" s="79" t="s">
        <v>652</v>
      </c>
      <c r="B4" s="97" t="s">
        <v>653</v>
      </c>
      <c r="C4" s="97" t="s">
        <v>654</v>
      </c>
      <c r="D4" s="97" t="s">
        <v>655</v>
      </c>
      <c r="E4" s="97" t="s">
        <v>656</v>
      </c>
      <c r="F4" s="97" t="s">
        <v>657</v>
      </c>
      <c r="G4" s="98" t="s">
        <v>658</v>
      </c>
    </row>
    <row r="5" ht="36.0" customHeight="1">
      <c r="A5" s="82" t="s">
        <v>659</v>
      </c>
      <c r="B5" s="99" t="s">
        <v>660</v>
      </c>
      <c r="C5" s="99" t="s">
        <v>661</v>
      </c>
      <c r="D5" s="99" t="s">
        <v>662</v>
      </c>
      <c r="E5" s="99" t="s">
        <v>663</v>
      </c>
      <c r="F5" s="99" t="s">
        <v>664</v>
      </c>
      <c r="G5" s="100" t="s">
        <v>658</v>
      </c>
    </row>
    <row r="6" ht="36.0" customHeight="1">
      <c r="A6" s="79" t="s">
        <v>665</v>
      </c>
      <c r="B6" s="97" t="s">
        <v>666</v>
      </c>
      <c r="C6" s="97" t="s">
        <v>654</v>
      </c>
      <c r="D6" s="97" t="s">
        <v>667</v>
      </c>
      <c r="E6" s="97" t="s">
        <v>668</v>
      </c>
      <c r="F6" s="97" t="s">
        <v>669</v>
      </c>
      <c r="G6" s="98" t="s">
        <v>658</v>
      </c>
    </row>
    <row r="7" ht="81.0" customHeight="1">
      <c r="A7" s="82" t="s">
        <v>670</v>
      </c>
      <c r="B7" s="99" t="s">
        <v>671</v>
      </c>
      <c r="C7" s="99" t="s">
        <v>672</v>
      </c>
      <c r="D7" s="99" t="s">
        <v>673</v>
      </c>
      <c r="E7" s="99" t="s">
        <v>674</v>
      </c>
      <c r="F7" s="99" t="s">
        <v>675</v>
      </c>
      <c r="G7" s="100" t="s">
        <v>645</v>
      </c>
    </row>
    <row r="8" ht="66.0" customHeight="1">
      <c r="A8" s="101" t="s">
        <v>676</v>
      </c>
      <c r="B8" s="102" t="s">
        <v>677</v>
      </c>
      <c r="C8" s="102" t="s">
        <v>661</v>
      </c>
      <c r="D8" s="102" t="s">
        <v>678</v>
      </c>
      <c r="E8" s="102" t="s">
        <v>679</v>
      </c>
      <c r="F8" s="102" t="s">
        <v>680</v>
      </c>
      <c r="G8" s="103" t="s">
        <v>681</v>
      </c>
    </row>
    <row r="9" ht="21.0" customHeight="1"/>
    <row r="10" ht="21.0" customHeight="1"/>
    <row r="11" ht="21.0" customHeight="1"/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12.63"/>
    <col customWidth="1" min="3" max="3" width="48.88"/>
    <col customWidth="1" min="4" max="4" width="42.0"/>
    <col customWidth="1" min="5" max="5" width="41.75"/>
    <col customWidth="1" min="6" max="6" width="12.63"/>
  </cols>
  <sheetData>
    <row r="1" ht="21.0" customHeight="1">
      <c r="A1" s="60" t="s">
        <v>682</v>
      </c>
      <c r="B1" s="60" t="s">
        <v>683</v>
      </c>
      <c r="C1" s="60" t="s">
        <v>684</v>
      </c>
      <c r="D1" s="60" t="s">
        <v>685</v>
      </c>
      <c r="E1" s="60" t="s">
        <v>686</v>
      </c>
    </row>
    <row r="2" ht="66.0" customHeight="1">
      <c r="A2" s="104" t="s">
        <v>687</v>
      </c>
      <c r="B2" s="105" t="s">
        <v>688</v>
      </c>
      <c r="C2" s="105" t="s">
        <v>689</v>
      </c>
      <c r="D2" s="105" t="s">
        <v>690</v>
      </c>
      <c r="E2" s="106" t="s">
        <v>691</v>
      </c>
    </row>
    <row r="3" ht="96.0" customHeight="1">
      <c r="A3" s="82" t="s">
        <v>692</v>
      </c>
      <c r="B3" s="83" t="s">
        <v>693</v>
      </c>
      <c r="C3" s="83" t="s">
        <v>694</v>
      </c>
      <c r="D3" s="83" t="s">
        <v>695</v>
      </c>
      <c r="E3" s="84" t="s">
        <v>696</v>
      </c>
    </row>
    <row r="4" ht="66.0" customHeight="1">
      <c r="A4" s="79" t="s">
        <v>697</v>
      </c>
      <c r="B4" s="80" t="s">
        <v>698</v>
      </c>
      <c r="C4" s="80" t="s">
        <v>699</v>
      </c>
      <c r="D4" s="80" t="s">
        <v>652</v>
      </c>
      <c r="E4" s="81" t="s">
        <v>700</v>
      </c>
    </row>
    <row r="5" ht="96.0" customHeight="1">
      <c r="A5" s="82" t="s">
        <v>701</v>
      </c>
      <c r="B5" s="83" t="s">
        <v>702</v>
      </c>
      <c r="C5" s="83" t="s">
        <v>703</v>
      </c>
      <c r="D5" s="83" t="s">
        <v>704</v>
      </c>
      <c r="E5" s="84" t="s">
        <v>705</v>
      </c>
    </row>
    <row r="6" ht="96.0" customHeight="1">
      <c r="A6" s="79" t="s">
        <v>706</v>
      </c>
      <c r="B6" s="80" t="s">
        <v>707</v>
      </c>
      <c r="C6" s="80" t="s">
        <v>708</v>
      </c>
      <c r="D6" s="80" t="s">
        <v>709</v>
      </c>
      <c r="E6" s="81" t="s">
        <v>710</v>
      </c>
    </row>
    <row r="7" ht="111.0" customHeight="1">
      <c r="A7" s="82" t="s">
        <v>711</v>
      </c>
      <c r="B7" s="83" t="s">
        <v>541</v>
      </c>
      <c r="C7" s="83" t="s">
        <v>712</v>
      </c>
      <c r="D7" s="83" t="s">
        <v>713</v>
      </c>
      <c r="E7" s="84" t="s">
        <v>714</v>
      </c>
    </row>
    <row r="8" ht="96.0" customHeight="1">
      <c r="A8" s="79" t="s">
        <v>715</v>
      </c>
      <c r="B8" s="80" t="s">
        <v>716</v>
      </c>
      <c r="C8" s="80" t="s">
        <v>717</v>
      </c>
      <c r="D8" s="80" t="s">
        <v>718</v>
      </c>
      <c r="E8" s="81" t="s">
        <v>719</v>
      </c>
    </row>
    <row r="9" ht="96.0" customHeight="1">
      <c r="A9" s="82" t="s">
        <v>720</v>
      </c>
      <c r="B9" s="83" t="s">
        <v>721</v>
      </c>
      <c r="C9" s="83" t="s">
        <v>722</v>
      </c>
      <c r="D9" s="83" t="s">
        <v>723</v>
      </c>
      <c r="E9" s="84" t="s">
        <v>724</v>
      </c>
    </row>
    <row r="10" ht="96.0" customHeight="1">
      <c r="A10" s="79" t="s">
        <v>725</v>
      </c>
      <c r="B10" s="80" t="s">
        <v>726</v>
      </c>
      <c r="C10" s="80" t="s">
        <v>727</v>
      </c>
      <c r="D10" s="80" t="s">
        <v>728</v>
      </c>
      <c r="E10" s="81" t="s">
        <v>729</v>
      </c>
    </row>
    <row r="11" ht="111.0" customHeight="1">
      <c r="A11" s="82" t="s">
        <v>730</v>
      </c>
      <c r="B11" s="83" t="s">
        <v>731</v>
      </c>
      <c r="C11" s="83" t="s">
        <v>732</v>
      </c>
      <c r="D11" s="83" t="s">
        <v>733</v>
      </c>
      <c r="E11" s="84" t="s">
        <v>734</v>
      </c>
    </row>
    <row r="12" ht="96.0" customHeight="1">
      <c r="A12" s="87" t="s">
        <v>735</v>
      </c>
      <c r="B12" s="88" t="s">
        <v>736</v>
      </c>
      <c r="C12" s="88" t="s">
        <v>737</v>
      </c>
      <c r="D12" s="88" t="s">
        <v>738</v>
      </c>
      <c r="E12" s="89" t="s">
        <v>739</v>
      </c>
    </row>
    <row r="13" ht="66.0" customHeight="1">
      <c r="A13" s="107" t="s">
        <v>740</v>
      </c>
      <c r="B13" s="63" t="s">
        <v>741</v>
      </c>
      <c r="C13" s="63" t="s">
        <v>742</v>
      </c>
      <c r="D13" s="63" t="s">
        <v>743</v>
      </c>
      <c r="E13" s="108" t="s">
        <v>744</v>
      </c>
    </row>
    <row r="14" ht="96.0" customHeight="1">
      <c r="A14" s="109" t="s">
        <v>745</v>
      </c>
      <c r="B14" s="65" t="s">
        <v>440</v>
      </c>
      <c r="C14" s="65" t="s">
        <v>746</v>
      </c>
      <c r="D14" s="65" t="s">
        <v>747</v>
      </c>
      <c r="E14" s="110" t="s">
        <v>748</v>
      </c>
    </row>
    <row r="15" ht="66.0" customHeight="1">
      <c r="A15" s="109" t="s">
        <v>749</v>
      </c>
      <c r="B15" s="65" t="s">
        <v>750</v>
      </c>
      <c r="C15" s="65" t="s">
        <v>751</v>
      </c>
      <c r="D15" s="65" t="s">
        <v>752</v>
      </c>
      <c r="E15" s="110" t="s">
        <v>753</v>
      </c>
    </row>
    <row r="16" ht="81.0" customHeight="1">
      <c r="A16" s="109" t="s">
        <v>754</v>
      </c>
      <c r="B16" s="65" t="s">
        <v>571</v>
      </c>
      <c r="C16" s="65" t="s">
        <v>755</v>
      </c>
      <c r="D16" s="65" t="s">
        <v>756</v>
      </c>
      <c r="E16" s="110" t="s">
        <v>757</v>
      </c>
    </row>
    <row r="17" ht="111.0" customHeight="1">
      <c r="A17" s="109" t="s">
        <v>758</v>
      </c>
      <c r="B17" s="65" t="s">
        <v>759</v>
      </c>
      <c r="C17" s="65" t="s">
        <v>760</v>
      </c>
      <c r="D17" s="65" t="s">
        <v>761</v>
      </c>
      <c r="E17" s="110" t="s">
        <v>762</v>
      </c>
    </row>
    <row r="18" ht="81.0" customHeight="1">
      <c r="A18" s="111" t="s">
        <v>763</v>
      </c>
      <c r="B18" s="112" t="s">
        <v>764</v>
      </c>
      <c r="C18" s="112" t="s">
        <v>765</v>
      </c>
      <c r="D18" s="112" t="s">
        <v>766</v>
      </c>
      <c r="E18" s="113" t="s">
        <v>767</v>
      </c>
    </row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31.0"/>
    <col customWidth="1" min="3" max="3" width="53.63"/>
    <col customWidth="1" min="4" max="6" width="12.63"/>
  </cols>
  <sheetData>
    <row r="1" ht="21.0" customHeight="1">
      <c r="A1" s="60" t="s">
        <v>768</v>
      </c>
      <c r="B1" s="60" t="s">
        <v>769</v>
      </c>
      <c r="C1" s="60" t="s">
        <v>770</v>
      </c>
    </row>
    <row r="2" ht="36.0" customHeight="1">
      <c r="A2" s="114" t="s">
        <v>771</v>
      </c>
      <c r="B2" s="80" t="s">
        <v>772</v>
      </c>
      <c r="C2" s="81" t="s">
        <v>773</v>
      </c>
    </row>
    <row r="3" ht="51.0" customHeight="1">
      <c r="A3" s="115" t="s">
        <v>774</v>
      </c>
      <c r="B3" s="83" t="s">
        <v>775</v>
      </c>
      <c r="C3" s="84" t="s">
        <v>776</v>
      </c>
    </row>
    <row r="4" ht="51.0" customHeight="1">
      <c r="A4" s="114" t="s">
        <v>777</v>
      </c>
      <c r="B4" s="80" t="s">
        <v>778</v>
      </c>
      <c r="C4" s="81" t="s">
        <v>779</v>
      </c>
    </row>
    <row r="5" ht="36.0" customHeight="1">
      <c r="A5" s="115" t="s">
        <v>780</v>
      </c>
      <c r="B5" s="83" t="s">
        <v>781</v>
      </c>
      <c r="C5" s="84" t="s">
        <v>782</v>
      </c>
    </row>
    <row r="6" ht="51.0" customHeight="1">
      <c r="A6" s="114" t="s">
        <v>783</v>
      </c>
      <c r="B6" s="80" t="s">
        <v>784</v>
      </c>
      <c r="C6" s="81" t="s">
        <v>785</v>
      </c>
    </row>
    <row r="7" ht="51.0" customHeight="1">
      <c r="A7" s="116" t="s">
        <v>432</v>
      </c>
      <c r="B7" s="95" t="s">
        <v>489</v>
      </c>
      <c r="C7" s="96" t="s">
        <v>786</v>
      </c>
    </row>
    <row r="8" ht="51.0" customHeight="1">
      <c r="A8" s="116" t="s">
        <v>787</v>
      </c>
      <c r="B8" s="95" t="s">
        <v>788</v>
      </c>
      <c r="C8" s="96" t="s">
        <v>789</v>
      </c>
    </row>
    <row r="9" ht="21.0" customHeight="1"/>
    <row r="10" ht="21.0" customHeight="1"/>
    <row r="11" ht="21.0" customHeight="1"/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4.13"/>
    <col customWidth="1" min="3" max="3" width="50.75"/>
    <col customWidth="1" min="4" max="6" width="12.63"/>
  </cols>
  <sheetData>
    <row r="1" ht="21.0" customHeight="1">
      <c r="A1" s="117" t="s">
        <v>790</v>
      </c>
      <c r="B1" s="117" t="s">
        <v>791</v>
      </c>
      <c r="C1" s="117" t="s">
        <v>792</v>
      </c>
    </row>
    <row r="2" ht="36.0" customHeight="1">
      <c r="A2" s="64" t="s">
        <v>793</v>
      </c>
      <c r="B2" s="64" t="s">
        <v>794</v>
      </c>
      <c r="C2" s="64" t="s">
        <v>795</v>
      </c>
    </row>
    <row r="3" ht="51.0" customHeight="1">
      <c r="A3" s="64" t="s">
        <v>796</v>
      </c>
      <c r="B3" s="64" t="s">
        <v>636</v>
      </c>
      <c r="C3" s="64" t="s">
        <v>797</v>
      </c>
    </row>
    <row r="4" ht="51.0" customHeight="1">
      <c r="A4" s="64" t="s">
        <v>645</v>
      </c>
      <c r="B4" s="64" t="s">
        <v>636</v>
      </c>
      <c r="C4" s="64" t="s">
        <v>798</v>
      </c>
    </row>
    <row r="5" ht="51.0" customHeight="1">
      <c r="A5" s="64" t="s">
        <v>658</v>
      </c>
      <c r="B5" s="64" t="s">
        <v>636</v>
      </c>
      <c r="C5" s="64" t="s">
        <v>799</v>
      </c>
    </row>
    <row r="6" ht="51.0" customHeight="1">
      <c r="A6" s="64" t="s">
        <v>681</v>
      </c>
      <c r="B6" s="64" t="s">
        <v>636</v>
      </c>
      <c r="C6" s="64" t="s">
        <v>800</v>
      </c>
    </row>
    <row r="7" ht="51.0" customHeight="1">
      <c r="A7" s="64" t="s">
        <v>801</v>
      </c>
      <c r="B7" s="64" t="s">
        <v>802</v>
      </c>
      <c r="C7" s="64" t="s">
        <v>803</v>
      </c>
    </row>
    <row r="8" ht="66.0" customHeight="1">
      <c r="A8" s="64" t="s">
        <v>804</v>
      </c>
      <c r="B8" s="64" t="s">
        <v>805</v>
      </c>
      <c r="C8" s="64" t="s">
        <v>806</v>
      </c>
    </row>
    <row r="9" ht="21.0" customHeight="1"/>
    <row r="10" ht="21.0" customHeight="1"/>
    <row r="11" ht="21.0" customHeight="1"/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0.63"/>
    <col customWidth="1" min="3" max="3" width="21.0"/>
    <col customWidth="1" min="4" max="6" width="12.63"/>
  </cols>
  <sheetData>
    <row r="1" ht="15.75" customHeight="1">
      <c r="A1" s="118" t="s">
        <v>807</v>
      </c>
      <c r="B1" s="118" t="s">
        <v>633</v>
      </c>
      <c r="C1" s="118" t="s">
        <v>634</v>
      </c>
      <c r="D1" s="119" t="s">
        <v>808</v>
      </c>
      <c r="E1" s="120"/>
      <c r="F1" s="120"/>
      <c r="G1" s="121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ht="15.75" customHeight="1">
      <c r="A2" s="123"/>
      <c r="B2" s="123"/>
      <c r="C2" s="123"/>
      <c r="D2" s="118" t="s">
        <v>809</v>
      </c>
      <c r="E2" s="118" t="s">
        <v>810</v>
      </c>
      <c r="F2" s="118" t="s">
        <v>811</v>
      </c>
      <c r="G2" s="118" t="s">
        <v>812</v>
      </c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ht="15.75" customHeight="1">
      <c r="A3" s="124" t="s">
        <v>813</v>
      </c>
      <c r="B3" s="125" t="s">
        <v>814</v>
      </c>
      <c r="C3" s="126"/>
      <c r="D3" s="124" t="s">
        <v>815</v>
      </c>
      <c r="E3" s="124" t="s">
        <v>815</v>
      </c>
      <c r="F3" s="124" t="s">
        <v>815</v>
      </c>
      <c r="G3" s="124" t="s">
        <v>815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ht="28.5" customHeight="1">
      <c r="A4" s="127" t="s">
        <v>816</v>
      </c>
      <c r="B4" s="128" t="s">
        <v>817</v>
      </c>
      <c r="C4" s="128" t="s">
        <v>818</v>
      </c>
      <c r="D4" s="129" t="s">
        <v>815</v>
      </c>
      <c r="E4" s="130"/>
      <c r="F4" s="130"/>
      <c r="G4" s="130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ht="25.5" customHeight="1">
      <c r="A5" s="131" t="s">
        <v>819</v>
      </c>
      <c r="B5" s="132" t="s">
        <v>820</v>
      </c>
      <c r="C5" s="132" t="s">
        <v>818</v>
      </c>
      <c r="D5" s="133" t="s">
        <v>815</v>
      </c>
      <c r="E5" s="134"/>
      <c r="F5" s="134"/>
      <c r="G5" s="134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ht="27.75" customHeight="1">
      <c r="A6" s="127" t="s">
        <v>821</v>
      </c>
      <c r="B6" s="128" t="s">
        <v>822</v>
      </c>
      <c r="C6" s="128" t="s">
        <v>818</v>
      </c>
      <c r="D6" s="129" t="s">
        <v>815</v>
      </c>
      <c r="E6" s="130"/>
      <c r="F6" s="130"/>
      <c r="G6" s="130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26.25" customHeight="1">
      <c r="A7" s="131" t="s">
        <v>823</v>
      </c>
      <c r="B7" s="132" t="s">
        <v>824</v>
      </c>
      <c r="C7" s="132" t="s">
        <v>818</v>
      </c>
      <c r="D7" s="133" t="s">
        <v>815</v>
      </c>
      <c r="E7" s="134"/>
      <c r="F7" s="134"/>
      <c r="G7" s="134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 ht="27.75" customHeight="1">
      <c r="A8" s="127" t="s">
        <v>825</v>
      </c>
      <c r="B8" s="128" t="s">
        <v>826</v>
      </c>
      <c r="C8" s="128" t="s">
        <v>818</v>
      </c>
      <c r="D8" s="129" t="s">
        <v>815</v>
      </c>
      <c r="E8" s="130"/>
      <c r="F8" s="130"/>
      <c r="G8" s="130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ht="15.75" customHeight="1">
      <c r="A9" s="131" t="s">
        <v>827</v>
      </c>
      <c r="B9" s="132" t="s">
        <v>828</v>
      </c>
      <c r="C9" s="132" t="s">
        <v>818</v>
      </c>
      <c r="D9" s="133" t="s">
        <v>815</v>
      </c>
      <c r="E9" s="133" t="s">
        <v>815</v>
      </c>
      <c r="F9" s="133" t="s">
        <v>815</v>
      </c>
      <c r="G9" s="133" t="s">
        <v>815</v>
      </c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ht="28.5" customHeight="1">
      <c r="A10" s="127" t="s">
        <v>829</v>
      </c>
      <c r="B10" s="128" t="s">
        <v>830</v>
      </c>
      <c r="C10" s="128" t="s">
        <v>818</v>
      </c>
      <c r="D10" s="129" t="s">
        <v>815</v>
      </c>
      <c r="E10" s="129" t="s">
        <v>815</v>
      </c>
      <c r="F10" s="129" t="s">
        <v>815</v>
      </c>
      <c r="G10" s="129" t="s">
        <v>815</v>
      </c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ht="30.0" customHeight="1">
      <c r="A11" s="131" t="s">
        <v>831</v>
      </c>
      <c r="B11" s="132" t="s">
        <v>832</v>
      </c>
      <c r="C11" s="132" t="s">
        <v>818</v>
      </c>
      <c r="D11" s="133" t="s">
        <v>815</v>
      </c>
      <c r="E11" s="133" t="s">
        <v>815</v>
      </c>
      <c r="F11" s="133" t="s">
        <v>815</v>
      </c>
      <c r="G11" s="133" t="s">
        <v>815</v>
      </c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ht="25.5" customHeight="1">
      <c r="A12" s="127" t="s">
        <v>833</v>
      </c>
      <c r="B12" s="128" t="s">
        <v>834</v>
      </c>
      <c r="C12" s="128" t="s">
        <v>818</v>
      </c>
      <c r="D12" s="129" t="s">
        <v>815</v>
      </c>
      <c r="E12" s="129" t="s">
        <v>815</v>
      </c>
      <c r="F12" s="129" t="s">
        <v>815</v>
      </c>
      <c r="G12" s="129" t="s">
        <v>815</v>
      </c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ht="27.75" customHeight="1">
      <c r="A13" s="131" t="s">
        <v>835</v>
      </c>
      <c r="B13" s="132" t="s">
        <v>836</v>
      </c>
      <c r="C13" s="132" t="s">
        <v>818</v>
      </c>
      <c r="D13" s="133" t="s">
        <v>815</v>
      </c>
      <c r="E13" s="133" t="s">
        <v>815</v>
      </c>
      <c r="F13" s="133" t="s">
        <v>815</v>
      </c>
      <c r="G13" s="133" t="s">
        <v>815</v>
      </c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ht="30.0" customHeight="1">
      <c r="A14" s="127" t="s">
        <v>837</v>
      </c>
      <c r="B14" s="128" t="s">
        <v>838</v>
      </c>
      <c r="C14" s="128" t="s">
        <v>818</v>
      </c>
      <c r="D14" s="129" t="s">
        <v>815</v>
      </c>
      <c r="E14" s="129" t="s">
        <v>815</v>
      </c>
      <c r="F14" s="129" t="s">
        <v>815</v>
      </c>
      <c r="G14" s="129" t="s">
        <v>815</v>
      </c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ht="17.25" customHeight="1">
      <c r="A15" s="131" t="s">
        <v>839</v>
      </c>
      <c r="B15" s="132" t="s">
        <v>840</v>
      </c>
      <c r="C15" s="132" t="s">
        <v>818</v>
      </c>
      <c r="D15" s="133" t="s">
        <v>815</v>
      </c>
      <c r="E15" s="133" t="s">
        <v>815</v>
      </c>
      <c r="F15" s="133" t="s">
        <v>815</v>
      </c>
      <c r="G15" s="133" t="s">
        <v>815</v>
      </c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ht="28.5" customHeight="1">
      <c r="A16" s="135" t="s">
        <v>841</v>
      </c>
      <c r="B16" s="136" t="s">
        <v>842</v>
      </c>
      <c r="C16" s="136" t="s">
        <v>818</v>
      </c>
      <c r="D16" s="135" t="s">
        <v>815</v>
      </c>
      <c r="E16" s="130"/>
      <c r="F16" s="130"/>
      <c r="G16" s="130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ht="15.75" customHeight="1">
      <c r="A17" s="131" t="s">
        <v>843</v>
      </c>
      <c r="B17" s="132" t="s">
        <v>844</v>
      </c>
      <c r="C17" s="132" t="s">
        <v>818</v>
      </c>
      <c r="D17" s="133" t="s">
        <v>815</v>
      </c>
      <c r="E17" s="133" t="s">
        <v>815</v>
      </c>
      <c r="F17" s="133" t="s">
        <v>815</v>
      </c>
      <c r="G17" s="133" t="s">
        <v>815</v>
      </c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ht="27.0" customHeight="1">
      <c r="A18" s="127" t="s">
        <v>845</v>
      </c>
      <c r="B18" s="128" t="s">
        <v>846</v>
      </c>
      <c r="C18" s="128" t="s">
        <v>847</v>
      </c>
      <c r="D18" s="129" t="s">
        <v>815</v>
      </c>
      <c r="E18" s="129" t="s">
        <v>815</v>
      </c>
      <c r="F18" s="129" t="s">
        <v>815</v>
      </c>
      <c r="G18" s="129" t="s">
        <v>815</v>
      </c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ht="26.25" customHeight="1">
      <c r="A19" s="131" t="s">
        <v>848</v>
      </c>
      <c r="B19" s="132" t="s">
        <v>849</v>
      </c>
      <c r="C19" s="132" t="s">
        <v>847</v>
      </c>
      <c r="D19" s="134"/>
      <c r="E19" s="133" t="s">
        <v>815</v>
      </c>
      <c r="F19" s="133" t="s">
        <v>815</v>
      </c>
      <c r="G19" s="133" t="s">
        <v>815</v>
      </c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ht="15.75" customHeight="1">
      <c r="A20" s="127" t="s">
        <v>850</v>
      </c>
      <c r="B20" s="128" t="s">
        <v>851</v>
      </c>
      <c r="C20" s="128" t="s">
        <v>818</v>
      </c>
      <c r="D20" s="129" t="s">
        <v>815</v>
      </c>
      <c r="E20" s="129" t="s">
        <v>815</v>
      </c>
      <c r="F20" s="129" t="s">
        <v>815</v>
      </c>
      <c r="G20" s="129" t="s">
        <v>815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ht="23.25" customHeight="1">
      <c r="A21" s="131" t="s">
        <v>852</v>
      </c>
      <c r="B21" s="132" t="s">
        <v>853</v>
      </c>
      <c r="C21" s="132" t="s">
        <v>818</v>
      </c>
      <c r="D21" s="133" t="s">
        <v>815</v>
      </c>
      <c r="E21" s="133" t="s">
        <v>815</v>
      </c>
      <c r="F21" s="133" t="s">
        <v>815</v>
      </c>
      <c r="G21" s="133" t="s">
        <v>815</v>
      </c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ht="28.5" customHeight="1">
      <c r="A22" s="127" t="s">
        <v>854</v>
      </c>
      <c r="B22" s="128" t="s">
        <v>855</v>
      </c>
      <c r="C22" s="128" t="s">
        <v>818</v>
      </c>
      <c r="D22" s="130"/>
      <c r="E22" s="129" t="s">
        <v>815</v>
      </c>
      <c r="F22" s="129" t="s">
        <v>815</v>
      </c>
      <c r="G22" s="129" t="s">
        <v>815</v>
      </c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ht="15.75" customHeight="1">
      <c r="A23" s="131" t="s">
        <v>856</v>
      </c>
      <c r="B23" s="132" t="s">
        <v>857</v>
      </c>
      <c r="C23" s="132" t="s">
        <v>654</v>
      </c>
      <c r="D23" s="133" t="s">
        <v>815</v>
      </c>
      <c r="E23" s="133" t="s">
        <v>815</v>
      </c>
      <c r="F23" s="133" t="s">
        <v>815</v>
      </c>
      <c r="G23" s="133" t="s">
        <v>815</v>
      </c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ht="24.0" customHeight="1">
      <c r="A24" s="135" t="s">
        <v>858</v>
      </c>
      <c r="B24" s="136" t="s">
        <v>859</v>
      </c>
      <c r="C24" s="136" t="s">
        <v>860</v>
      </c>
      <c r="D24" s="135" t="s">
        <v>815</v>
      </c>
      <c r="E24" s="130"/>
      <c r="F24" s="130"/>
      <c r="G24" s="130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ht="27.75" customHeight="1">
      <c r="A25" s="137" t="s">
        <v>861</v>
      </c>
      <c r="B25" s="138" t="s">
        <v>862</v>
      </c>
      <c r="C25" s="138" t="s">
        <v>654</v>
      </c>
      <c r="D25" s="134"/>
      <c r="E25" s="137" t="s">
        <v>815</v>
      </c>
      <c r="F25" s="134"/>
      <c r="G25" s="134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ht="30.75" customHeight="1">
      <c r="A26" s="135" t="s">
        <v>863</v>
      </c>
      <c r="B26" s="136" t="s">
        <v>864</v>
      </c>
      <c r="C26" s="136" t="s">
        <v>654</v>
      </c>
      <c r="D26" s="130"/>
      <c r="E26" s="130"/>
      <c r="F26" s="135" t="s">
        <v>815</v>
      </c>
      <c r="G26" s="130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ht="15.75" customHeight="1">
      <c r="A27" s="131" t="s">
        <v>865</v>
      </c>
      <c r="B27" s="132" t="s">
        <v>866</v>
      </c>
      <c r="C27" s="132" t="s">
        <v>818</v>
      </c>
      <c r="D27" s="134"/>
      <c r="E27" s="134"/>
      <c r="F27" s="133" t="s">
        <v>815</v>
      </c>
      <c r="G27" s="133" t="s">
        <v>815</v>
      </c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ht="30.75" customHeight="1">
      <c r="A28" s="127" t="s">
        <v>867</v>
      </c>
      <c r="B28" s="128" t="s">
        <v>868</v>
      </c>
      <c r="C28" s="128" t="s">
        <v>847</v>
      </c>
      <c r="D28" s="130"/>
      <c r="E28" s="130"/>
      <c r="F28" s="130"/>
      <c r="G28" s="129" t="s">
        <v>815</v>
      </c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ht="15.75" customHeight="1">
      <c r="A29" s="131" t="s">
        <v>869</v>
      </c>
      <c r="B29" s="132" t="s">
        <v>870</v>
      </c>
      <c r="C29" s="132" t="s">
        <v>818</v>
      </c>
      <c r="D29" s="134"/>
      <c r="E29" s="134"/>
      <c r="F29" s="134"/>
      <c r="G29" s="133" t="s">
        <v>815</v>
      </c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ht="15.75" customHeight="1">
      <c r="A30" s="127" t="s">
        <v>871</v>
      </c>
      <c r="B30" s="128" t="s">
        <v>872</v>
      </c>
      <c r="C30" s="128" t="s">
        <v>654</v>
      </c>
      <c r="D30" s="130"/>
      <c r="E30" s="130"/>
      <c r="F30" s="130"/>
      <c r="G30" s="129" t="s">
        <v>815</v>
      </c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ht="36.0" customHeight="1">
      <c r="A31" s="137" t="s">
        <v>873</v>
      </c>
      <c r="B31" s="138" t="s">
        <v>874</v>
      </c>
      <c r="C31" s="138" t="s">
        <v>860</v>
      </c>
      <c r="D31" s="134"/>
      <c r="E31" s="134"/>
      <c r="F31" s="134"/>
      <c r="G31" s="137" t="s">
        <v>815</v>
      </c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ht="15.75" customHeight="1">
      <c r="A32" s="124" t="s">
        <v>875</v>
      </c>
      <c r="B32" s="125" t="s">
        <v>876</v>
      </c>
      <c r="C32" s="126"/>
      <c r="D32" s="124" t="s">
        <v>815</v>
      </c>
      <c r="E32" s="124" t="s">
        <v>815</v>
      </c>
      <c r="F32" s="126"/>
      <c r="G32" s="126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ht="15.75" customHeight="1">
      <c r="A33" s="131" t="s">
        <v>877</v>
      </c>
      <c r="B33" s="132" t="s">
        <v>878</v>
      </c>
      <c r="C33" s="132" t="s">
        <v>654</v>
      </c>
      <c r="D33" s="133" t="s">
        <v>815</v>
      </c>
      <c r="E33" s="134"/>
      <c r="F33" s="134"/>
      <c r="G33" s="134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30.75" customHeight="1">
      <c r="A34" s="127" t="s">
        <v>879</v>
      </c>
      <c r="B34" s="128" t="s">
        <v>880</v>
      </c>
      <c r="C34" s="128" t="s">
        <v>654</v>
      </c>
      <c r="D34" s="129" t="s">
        <v>815</v>
      </c>
      <c r="E34" s="130"/>
      <c r="F34" s="130"/>
      <c r="G34" s="130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34.5" customHeight="1">
      <c r="A35" s="131" t="s">
        <v>881</v>
      </c>
      <c r="B35" s="132" t="s">
        <v>882</v>
      </c>
      <c r="C35" s="132" t="s">
        <v>818</v>
      </c>
      <c r="D35" s="133" t="s">
        <v>815</v>
      </c>
      <c r="E35" s="134"/>
      <c r="F35" s="134"/>
      <c r="G35" s="134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30.75" customHeight="1">
      <c r="A36" s="127" t="s">
        <v>883</v>
      </c>
      <c r="B36" s="128" t="s">
        <v>884</v>
      </c>
      <c r="C36" s="128" t="s">
        <v>818</v>
      </c>
      <c r="D36" s="129" t="s">
        <v>815</v>
      </c>
      <c r="E36" s="130"/>
      <c r="F36" s="130"/>
      <c r="G36" s="130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5.75" customHeight="1">
      <c r="A37" s="131" t="s">
        <v>885</v>
      </c>
      <c r="B37" s="132" t="s">
        <v>886</v>
      </c>
      <c r="C37" s="132" t="s">
        <v>648</v>
      </c>
      <c r="D37" s="133" t="s">
        <v>815</v>
      </c>
      <c r="E37" s="133" t="s">
        <v>815</v>
      </c>
      <c r="F37" s="134"/>
      <c r="G37" s="134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5.75" customHeight="1">
      <c r="A38" s="127" t="s">
        <v>887</v>
      </c>
      <c r="B38" s="128" t="s">
        <v>888</v>
      </c>
      <c r="C38" s="128" t="s">
        <v>648</v>
      </c>
      <c r="D38" s="129" t="s">
        <v>815</v>
      </c>
      <c r="E38" s="130"/>
      <c r="F38" s="130"/>
      <c r="G38" s="130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5.75" customHeight="1">
      <c r="A39" s="131" t="s">
        <v>889</v>
      </c>
      <c r="B39" s="132" t="s">
        <v>890</v>
      </c>
      <c r="C39" s="132" t="s">
        <v>818</v>
      </c>
      <c r="D39" s="133" t="s">
        <v>815</v>
      </c>
      <c r="E39" s="133" t="s">
        <v>815</v>
      </c>
      <c r="F39" s="134"/>
      <c r="G39" s="134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37.5" customHeight="1">
      <c r="A40" s="135" t="s">
        <v>891</v>
      </c>
      <c r="B40" s="136" t="s">
        <v>892</v>
      </c>
      <c r="C40" s="136" t="s">
        <v>648</v>
      </c>
      <c r="D40" s="130"/>
      <c r="E40" s="135" t="s">
        <v>815</v>
      </c>
      <c r="F40" s="130"/>
      <c r="G40" s="130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5.75" customHeight="1">
      <c r="A41" s="124" t="s">
        <v>893</v>
      </c>
      <c r="B41" s="125" t="s">
        <v>894</v>
      </c>
      <c r="C41" s="126"/>
      <c r="D41" s="126"/>
      <c r="E41" s="124" t="s">
        <v>815</v>
      </c>
      <c r="F41" s="126"/>
      <c r="G41" s="126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5.75" customHeight="1">
      <c r="A42" s="127" t="s">
        <v>895</v>
      </c>
      <c r="B42" s="128" t="s">
        <v>896</v>
      </c>
      <c r="C42" s="128" t="s">
        <v>648</v>
      </c>
      <c r="D42" s="130"/>
      <c r="E42" s="129" t="s">
        <v>815</v>
      </c>
      <c r="F42" s="130"/>
      <c r="G42" s="130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5.75" customHeight="1">
      <c r="A43" s="131" t="s">
        <v>897</v>
      </c>
      <c r="B43" s="132" t="s">
        <v>898</v>
      </c>
      <c r="C43" s="132" t="s">
        <v>899</v>
      </c>
      <c r="D43" s="134"/>
      <c r="E43" s="133" t="s">
        <v>815</v>
      </c>
      <c r="F43" s="134"/>
      <c r="G43" s="134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33.0" customHeight="1">
      <c r="A44" s="135" t="s">
        <v>900</v>
      </c>
      <c r="B44" s="136" t="s">
        <v>901</v>
      </c>
      <c r="C44" s="136" t="s">
        <v>648</v>
      </c>
      <c r="D44" s="130"/>
      <c r="E44" s="135" t="s">
        <v>815</v>
      </c>
      <c r="F44" s="130"/>
      <c r="G44" s="130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5.75" customHeight="1">
      <c r="A45" s="124" t="s">
        <v>902</v>
      </c>
      <c r="B45" s="125" t="s">
        <v>903</v>
      </c>
      <c r="C45" s="126"/>
      <c r="D45" s="126"/>
      <c r="E45" s="124" t="s">
        <v>815</v>
      </c>
      <c r="F45" s="124" t="s">
        <v>815</v>
      </c>
      <c r="G45" s="126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5.75" customHeight="1">
      <c r="A46" s="127" t="s">
        <v>904</v>
      </c>
      <c r="B46" s="128" t="s">
        <v>905</v>
      </c>
      <c r="C46" s="128" t="s">
        <v>648</v>
      </c>
      <c r="D46" s="130"/>
      <c r="E46" s="129" t="s">
        <v>815</v>
      </c>
      <c r="F46" s="130"/>
      <c r="G46" s="130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5.75" customHeight="1">
      <c r="A47" s="131" t="s">
        <v>906</v>
      </c>
      <c r="B47" s="132" t="s">
        <v>907</v>
      </c>
      <c r="C47" s="132" t="s">
        <v>899</v>
      </c>
      <c r="D47" s="134"/>
      <c r="E47" s="133" t="s">
        <v>815</v>
      </c>
      <c r="F47" s="134"/>
      <c r="G47" s="134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5.75" customHeight="1">
      <c r="A48" s="127" t="s">
        <v>908</v>
      </c>
      <c r="B48" s="128" t="s">
        <v>909</v>
      </c>
      <c r="C48" s="128" t="s">
        <v>654</v>
      </c>
      <c r="D48" s="130"/>
      <c r="E48" s="129" t="s">
        <v>815</v>
      </c>
      <c r="F48" s="130"/>
      <c r="G48" s="130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5.75" customHeight="1">
      <c r="A49" s="131" t="s">
        <v>910</v>
      </c>
      <c r="B49" s="132" t="s">
        <v>911</v>
      </c>
      <c r="C49" s="132" t="s">
        <v>661</v>
      </c>
      <c r="D49" s="134"/>
      <c r="E49" s="133" t="s">
        <v>815</v>
      </c>
      <c r="F49" s="134"/>
      <c r="G49" s="134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5.75" customHeight="1">
      <c r="A50" s="127" t="s">
        <v>912</v>
      </c>
      <c r="B50" s="128" t="s">
        <v>913</v>
      </c>
      <c r="C50" s="128" t="s">
        <v>654</v>
      </c>
      <c r="D50" s="130"/>
      <c r="E50" s="129" t="s">
        <v>815</v>
      </c>
      <c r="F50" s="130"/>
      <c r="G50" s="130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42.0" customHeight="1">
      <c r="A51" s="137" t="s">
        <v>914</v>
      </c>
      <c r="B51" s="138" t="s">
        <v>915</v>
      </c>
      <c r="C51" s="138" t="s">
        <v>648</v>
      </c>
      <c r="D51" s="134"/>
      <c r="E51" s="137" t="s">
        <v>815</v>
      </c>
      <c r="F51" s="134"/>
      <c r="G51" s="134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5.75" customHeight="1">
      <c r="A52" s="127" t="s">
        <v>916</v>
      </c>
      <c r="B52" s="128" t="s">
        <v>917</v>
      </c>
      <c r="C52" s="128" t="s">
        <v>899</v>
      </c>
      <c r="D52" s="130"/>
      <c r="E52" s="129" t="s">
        <v>815</v>
      </c>
      <c r="F52" s="129" t="s">
        <v>815</v>
      </c>
      <c r="G52" s="130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35.25" customHeight="1">
      <c r="A53" s="137" t="s">
        <v>918</v>
      </c>
      <c r="B53" s="138" t="s">
        <v>919</v>
      </c>
      <c r="C53" s="138" t="s">
        <v>654</v>
      </c>
      <c r="D53" s="134"/>
      <c r="E53" s="134"/>
      <c r="F53" s="137" t="s">
        <v>815</v>
      </c>
      <c r="G53" s="134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27.0" customHeight="1">
      <c r="A54" s="124" t="s">
        <v>920</v>
      </c>
      <c r="B54" s="125" t="s">
        <v>921</v>
      </c>
      <c r="C54" s="126"/>
      <c r="D54" s="126"/>
      <c r="E54" s="124" t="s">
        <v>815</v>
      </c>
      <c r="F54" s="124" t="s">
        <v>815</v>
      </c>
      <c r="G54" s="126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5.75" customHeight="1">
      <c r="A55" s="131" t="s">
        <v>922</v>
      </c>
      <c r="B55" s="132" t="s">
        <v>923</v>
      </c>
      <c r="C55" s="132" t="s">
        <v>654</v>
      </c>
      <c r="D55" s="134"/>
      <c r="E55" s="133" t="s">
        <v>815</v>
      </c>
      <c r="F55" s="133" t="s">
        <v>815</v>
      </c>
      <c r="G55" s="134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5.75" customHeight="1">
      <c r="A56" s="127" t="s">
        <v>924</v>
      </c>
      <c r="B56" s="128" t="s">
        <v>925</v>
      </c>
      <c r="C56" s="128" t="s">
        <v>654</v>
      </c>
      <c r="D56" s="130"/>
      <c r="E56" s="130"/>
      <c r="F56" s="129" t="s">
        <v>815</v>
      </c>
      <c r="G56" s="130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27.75" customHeight="1">
      <c r="A57" s="131" t="s">
        <v>926</v>
      </c>
      <c r="B57" s="132" t="s">
        <v>927</v>
      </c>
      <c r="C57" s="132" t="s">
        <v>654</v>
      </c>
      <c r="D57" s="134"/>
      <c r="E57" s="134"/>
      <c r="F57" s="133" t="s">
        <v>815</v>
      </c>
      <c r="G57" s="134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33.0" customHeight="1">
      <c r="A58" s="127" t="s">
        <v>928</v>
      </c>
      <c r="B58" s="128" t="s">
        <v>929</v>
      </c>
      <c r="C58" s="128" t="s">
        <v>648</v>
      </c>
      <c r="D58" s="130"/>
      <c r="E58" s="130"/>
      <c r="F58" s="129" t="s">
        <v>815</v>
      </c>
      <c r="G58" s="130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5.75" customHeight="1">
      <c r="A59" s="124" t="s">
        <v>930</v>
      </c>
      <c r="B59" s="125" t="s">
        <v>931</v>
      </c>
      <c r="C59" s="126"/>
      <c r="D59" s="126"/>
      <c r="E59" s="126"/>
      <c r="F59" s="124" t="s">
        <v>815</v>
      </c>
      <c r="G59" s="124" t="s">
        <v>815</v>
      </c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5.75" customHeight="1">
      <c r="A60" s="127" t="s">
        <v>932</v>
      </c>
      <c r="B60" s="128" t="s">
        <v>933</v>
      </c>
      <c r="C60" s="128" t="s">
        <v>661</v>
      </c>
      <c r="D60" s="130"/>
      <c r="E60" s="130"/>
      <c r="F60" s="129" t="s">
        <v>815</v>
      </c>
      <c r="G60" s="130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5.75" customHeight="1">
      <c r="A61" s="131" t="s">
        <v>934</v>
      </c>
      <c r="B61" s="132" t="s">
        <v>935</v>
      </c>
      <c r="C61" s="132" t="s">
        <v>661</v>
      </c>
      <c r="D61" s="134"/>
      <c r="E61" s="134"/>
      <c r="F61" s="133" t="s">
        <v>815</v>
      </c>
      <c r="G61" s="134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5.75" customHeight="1">
      <c r="A62" s="127" t="s">
        <v>936</v>
      </c>
      <c r="B62" s="128" t="s">
        <v>937</v>
      </c>
      <c r="C62" s="128" t="s">
        <v>899</v>
      </c>
      <c r="D62" s="130"/>
      <c r="E62" s="130"/>
      <c r="F62" s="129" t="s">
        <v>815</v>
      </c>
      <c r="G62" s="130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32.25" customHeight="1">
      <c r="A63" s="137" t="s">
        <v>938</v>
      </c>
      <c r="B63" s="138" t="s">
        <v>939</v>
      </c>
      <c r="C63" s="138" t="s">
        <v>661</v>
      </c>
      <c r="D63" s="134"/>
      <c r="E63" s="134"/>
      <c r="F63" s="134"/>
      <c r="G63" s="137" t="s">
        <v>815</v>
      </c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5.75" customHeight="1">
      <c r="A64" s="124" t="s">
        <v>940</v>
      </c>
      <c r="B64" s="125" t="s">
        <v>941</v>
      </c>
      <c r="C64" s="126"/>
      <c r="D64" s="126"/>
      <c r="E64" s="124" t="s">
        <v>815</v>
      </c>
      <c r="F64" s="124" t="s">
        <v>815</v>
      </c>
      <c r="G64" s="124" t="s">
        <v>815</v>
      </c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5.75" customHeight="1">
      <c r="A65" s="131" t="s">
        <v>942</v>
      </c>
      <c r="B65" s="132" t="s">
        <v>943</v>
      </c>
      <c r="C65" s="132" t="s">
        <v>661</v>
      </c>
      <c r="D65" s="134"/>
      <c r="E65" s="133" t="s">
        <v>815</v>
      </c>
      <c r="F65" s="133" t="s">
        <v>815</v>
      </c>
      <c r="G65" s="133" t="s">
        <v>815</v>
      </c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5.75" customHeight="1">
      <c r="A66" s="127" t="s">
        <v>944</v>
      </c>
      <c r="B66" s="128" t="s">
        <v>945</v>
      </c>
      <c r="C66" s="128" t="s">
        <v>847</v>
      </c>
      <c r="D66" s="130"/>
      <c r="E66" s="130"/>
      <c r="F66" s="130"/>
      <c r="G66" s="129" t="s">
        <v>815</v>
      </c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28.5" customHeight="1">
      <c r="A67" s="131" t="s">
        <v>946</v>
      </c>
      <c r="B67" s="132" t="s">
        <v>947</v>
      </c>
      <c r="C67" s="132" t="s">
        <v>818</v>
      </c>
      <c r="D67" s="134"/>
      <c r="E67" s="134"/>
      <c r="F67" s="133" t="s">
        <v>815</v>
      </c>
      <c r="G67" s="133" t="s">
        <v>815</v>
      </c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85.5" customHeight="1">
      <c r="A68" s="135" t="s">
        <v>948</v>
      </c>
      <c r="B68" s="136" t="s">
        <v>949</v>
      </c>
      <c r="C68" s="136" t="s">
        <v>860</v>
      </c>
      <c r="D68" s="130"/>
      <c r="E68" s="130"/>
      <c r="F68" s="130"/>
      <c r="G68" s="135" t="s">
        <v>815</v>
      </c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5.7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5.7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5.7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5.7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5.7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5.7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5.7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5.7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5.7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5.7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5.7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5.7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5.7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5.7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5.7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5.7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5.7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5.7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5.7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5.7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5.7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5.7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5.7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5.7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5.7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5.7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5.7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5.7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5.7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5.7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5.7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5.7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5.7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5.7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5.7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5.7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5.7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5.7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5.7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5.7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5.7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5.7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5.7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5.7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5.7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5.7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5.7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5.7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5.7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5.7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5.7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5.7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5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5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5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5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5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5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5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5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5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5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5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5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5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5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5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5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5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5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5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5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5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5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5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5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5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5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5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5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5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5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5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5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5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5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5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5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5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5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5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5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5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5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5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5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5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5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5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5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5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5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5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5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5.7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5.7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5.7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5.7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5.7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5.7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5.7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5.7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5.7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5.7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5.7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5.7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5.7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5.7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5.7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5.7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5.7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5.7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5.7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5.7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5.7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5.7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5.7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5.7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5.7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5.7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5.7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5.75" customHeight="1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5.75" customHeight="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5.75" customHeight="1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5.75" customHeight="1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5.75" customHeight="1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5.75" customHeight="1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5.75" customHeight="1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5.75" customHeight="1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5.75" customHeight="1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5.75" customHeight="1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5.75" customHeight="1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5.75" customHeight="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5.75" customHeight="1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5.75" customHeight="1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5.75" customHeight="1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5.75" customHeight="1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5.75" customHeight="1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5.75" customHeight="1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5.75" customHeight="1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5.75" customHeight="1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5.75" customHeight="1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5.75" customHeight="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5.75" customHeight="1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5.75" customHeight="1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5.75" customHeight="1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5.75" customHeight="1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5.75" customHeight="1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5.75" customHeight="1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5.75" customHeight="1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5.75" customHeight="1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5.75" customHeight="1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5.75" customHeight="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5.75" customHeight="1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5.75" customHeight="1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5.75" customHeight="1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5.75" customHeight="1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5.75" customHeight="1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5.75" customHeight="1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5.75" customHeight="1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5.75" customHeight="1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5.75" customHeight="1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5.75" customHeight="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5.75" customHeight="1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5.75" customHeight="1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5.75" customHeight="1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5.75" customHeight="1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5.75" customHeight="1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5.75" customHeight="1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5.75" customHeight="1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5.75" customHeight="1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5.75" customHeight="1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5.75" customHeight="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5.75" customHeight="1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5.75" customHeight="1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5.75" customHeight="1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5.75" customHeight="1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5.75" customHeight="1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5.75" customHeight="1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5.75" customHeight="1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5.75" customHeight="1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5.75" customHeight="1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5.75" customHeight="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5.75" customHeight="1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5.75" customHeight="1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5.75" customHeight="1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5.75" customHeight="1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5.75" customHeight="1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5.75" customHeight="1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5.75" customHeight="1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G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25"/>
    <col customWidth="1" min="2" max="2" width="22.63"/>
    <col customWidth="1" min="3" max="3" width="31.25"/>
    <col customWidth="1" min="4" max="6" width="12.63"/>
  </cols>
  <sheetData>
    <row r="1" ht="22.5" customHeight="1">
      <c r="A1" s="117" t="s">
        <v>807</v>
      </c>
      <c r="B1" s="117" t="s">
        <v>950</v>
      </c>
      <c r="C1" s="117" t="s">
        <v>951</v>
      </c>
    </row>
    <row r="2" ht="65.25" customHeight="1">
      <c r="A2" s="139" t="s">
        <v>952</v>
      </c>
      <c r="B2" s="139" t="s">
        <v>953</v>
      </c>
      <c r="C2" s="139" t="s">
        <v>954</v>
      </c>
    </row>
    <row r="3" ht="70.5" customHeight="1">
      <c r="A3" s="139" t="s">
        <v>955</v>
      </c>
      <c r="B3" s="139" t="s">
        <v>956</v>
      </c>
      <c r="C3" s="139" t="s">
        <v>957</v>
      </c>
    </row>
    <row r="4" ht="65.25" customHeight="1">
      <c r="A4" s="139" t="s">
        <v>958</v>
      </c>
      <c r="B4" s="139" t="s">
        <v>959</v>
      </c>
      <c r="C4" s="139" t="s">
        <v>960</v>
      </c>
    </row>
    <row r="5" ht="60.0" customHeight="1">
      <c r="A5" s="139" t="s">
        <v>961</v>
      </c>
      <c r="B5" s="139" t="s">
        <v>962</v>
      </c>
      <c r="C5" s="139" t="s">
        <v>963</v>
      </c>
    </row>
    <row r="6" ht="36.0" customHeight="1">
      <c r="A6" s="139" t="s">
        <v>964</v>
      </c>
      <c r="B6" s="139" t="s">
        <v>965</v>
      </c>
      <c r="C6" s="139" t="s">
        <v>966</v>
      </c>
    </row>
    <row r="7" ht="54.75" customHeight="1">
      <c r="A7" s="139" t="s">
        <v>967</v>
      </c>
      <c r="B7" s="139" t="s">
        <v>968</v>
      </c>
      <c r="C7" s="139" t="s">
        <v>969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