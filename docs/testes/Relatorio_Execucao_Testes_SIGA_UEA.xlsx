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Execucao por CT" sheetId="2" state="visible" r:id="rId2"/>
    <sheet name="Testes automatizados" sheetId="3" state="visible" r:id="rId3"/>
    <sheet name="Testes no navegador" sheetId="4" state="visible" r:id="rId4"/>
    <sheet name="Desempenho RNF01" sheetId="5" state="visible" r:id="rId5"/>
    <sheet name="Evidencias" sheetId="6" state="visible" r:id="rId6"/>
  </sheets>
  <definedNames>
    <definedName name="_xlnm._FilterDatabase" localSheetId="1" hidden="1">'Execucao por CT'!$A$1:$O$103</definedName>
    <definedName name="_xlnm._FilterDatabase" localSheetId="2" hidden="1">'Testes automatizados'!$A$1:$H$114</definedName>
    <definedName name="_xlnm._FilterDatabase" localSheetId="3" hidden="1">'Testes no navegador'!$A$1:$F$60</definedName>
    <definedName name="_xlnm._FilterDatabase" localSheetId="5" hidden="1">'Evidencias'!$A$1:$B$29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4E79"/>
      <sz val="13"/>
    </font>
    <font>
      <name val="Arial"/>
      <b val="1"/>
      <color rgb="00000000"/>
      <sz val="10"/>
    </font>
    <font>
      <name val="Arial"/>
      <color rgb="000000FF"/>
      <sz val="10"/>
    </font>
    <font>
      <name val="Arial"/>
      <i val="1"/>
      <color rgb="00595959"/>
      <sz val="10"/>
    </font>
    <font>
      <name val="Arial"/>
      <b val="1"/>
      <color rgb="001F4E79"/>
      <sz val="15"/>
    </font>
    <font>
      <name val="Arial"/>
      <b val="1"/>
      <color rgb="001F4E79"/>
      <sz val="12"/>
    </font>
    <font>
      <name val="Arial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0" fontId="8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9" fillId="0" borderId="0" pivotButton="0" quotePrefix="0" xfId="0"/>
    <xf numFmtId="164" fontId="9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9" fillId="0" borderId="1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dxfs count="4">
    <dxf>
      <font>
        <name val="Arial"/>
        <b val="1"/>
        <color rgb="00375623"/>
      </font>
      <fill>
        <patternFill patternType="solid">
          <fgColor rgb="00E2F0D9"/>
        </patternFill>
      </fill>
    </dxf>
    <dxf>
      <font>
        <name val="Arial"/>
        <b val="1"/>
        <color rgb="007F6000"/>
      </font>
      <fill>
        <patternFill patternType="solid">
          <fgColor rgb="00FFF2CC"/>
        </patternFill>
      </fill>
    </dxf>
    <dxf>
      <font>
        <name val="Arial"/>
        <b val="1"/>
        <color rgb="009C0006"/>
      </font>
      <fill>
        <patternFill patternType="solid">
          <fgColor rgb="00F8CBAD"/>
        </patternFill>
      </fill>
    </dxf>
    <dxf>
      <font>
        <name val="Arial"/>
        <b val="1"/>
        <color rgb="003A3A3A"/>
      </font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9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SIGA UEA · Relatório de execução de testes</t>
        </is>
      </c>
    </row>
    <row r="2">
      <c r="A2" s="2" t="inlineStr">
        <is>
          <t>Histórias das sprints S02 e S03 (RBN01.01 a RBN01.10, RBN03.01 a RBN03.04 e RBN06.01) · casos de teste da matriz docs/matriz-ct-testes.md</t>
        </is>
      </c>
    </row>
    <row r="4">
      <c r="A4" s="3" t="inlineStr">
        <is>
          <t>Data da execução</t>
        </is>
      </c>
      <c r="B4" s="4" t="inlineStr">
        <is>
          <t>20/10/2026 21:01 (America/Manaus)</t>
        </is>
      </c>
    </row>
    <row r="5">
      <c r="A5" s="3" t="inlineStr">
        <is>
          <t>Versão testada (commit)</t>
        </is>
      </c>
      <c r="B5" s="4" t="inlineStr">
        <is>
          <t>449f0e6 · branch dev · repositório SIGA-UEA/sigauea</t>
        </is>
      </c>
    </row>
    <row r="6">
      <c r="A6" s="3" t="inlineStr">
        <is>
          <t>Ambientes</t>
        </is>
      </c>
      <c r="B6" s="4" t="inlineStr">
        <is>
          <t>API Python 3.12 + FastAPI 0.143 com SQLite e com PostgreSQL 16; site Next.js 16 (build de produção) no Google Chrome; e-mail desligado (SMTP vazio) para não enviar mensagens reais</t>
        </is>
      </c>
    </row>
    <row r="7">
      <c r="A7" s="3" t="inlineStr">
        <is>
          <t>Ferramentas</t>
        </is>
      </c>
      <c r="B7" s="4" t="inlineStr">
        <is>
          <t>pytest (API), Playwright com Chrome (navegador), script de carga em Python (httpx)</t>
        </is>
      </c>
    </row>
    <row r="8">
      <c r="A8" s="3" t="inlineStr">
        <is>
          <t>Responsável pela execução</t>
        </is>
      </c>
      <c r="B8" s="4" t="inlineStr">
        <is>
          <t>Igor Leite de Almeida</t>
        </is>
      </c>
    </row>
    <row r="10">
      <c r="A10" s="5" t="inlineStr">
        <is>
          <t>Casos de teste (CT) da matriz</t>
        </is>
      </c>
    </row>
    <row r="11">
      <c r="A11" s="3" t="inlineStr">
        <is>
          <t>Aprovado</t>
        </is>
      </c>
      <c r="B11" s="6">
        <f>COUNTIF('Execucao por CT'!$L$2:$L$103,"Aprovado")</f>
        <v/>
      </c>
      <c r="C11" s="7">
        <f>IF($B$15=0,0,B11/$B$15)</f>
        <v/>
      </c>
    </row>
    <row r="12">
      <c r="A12" s="3" t="inlineStr">
        <is>
          <t>Pendente</t>
        </is>
      </c>
      <c r="B12" s="6">
        <f>COUNTIF('Execucao por CT'!$L$2:$L$103,"Pendente")</f>
        <v/>
      </c>
      <c r="C12" s="7">
        <f>IF($B$15=0,0,B12/$B$15)</f>
        <v/>
      </c>
    </row>
    <row r="13">
      <c r="A13" s="3" t="inlineStr">
        <is>
          <t>Não executado</t>
        </is>
      </c>
      <c r="B13" s="6">
        <f>COUNTIF('Execucao por CT'!$L$2:$L$103,"Não executado")</f>
        <v/>
      </c>
      <c r="C13" s="7">
        <f>IF($B$15=0,0,B13/$B$15)</f>
        <v/>
      </c>
    </row>
    <row r="14">
      <c r="A14" s="3" t="inlineStr">
        <is>
          <t>Reprovado</t>
        </is>
      </c>
      <c r="B14" s="6">
        <f>COUNTIF('Execucao por CT'!$L$2:$L$103,"Reprovado")</f>
        <v/>
      </c>
      <c r="C14" s="7">
        <f>IF($B$15=0,0,B14/$B$15)</f>
        <v/>
      </c>
    </row>
    <row r="15">
      <c r="A15" s="3" t="inlineStr">
        <is>
          <t>Total de CTs</t>
        </is>
      </c>
      <c r="B15" s="3">
        <f>SUM(B11:B14)</f>
        <v/>
      </c>
    </row>
    <row r="17">
      <c r="A17" s="5" t="inlineStr">
        <is>
          <t>Execuções</t>
        </is>
      </c>
    </row>
    <row r="18">
      <c r="A18" s="3" t="inlineStr">
        <is>
          <t>Testes da API no SQLite: aprovados</t>
        </is>
      </c>
      <c r="B18" s="8">
        <f>COUNTIF('Testes automatizados'!$E$2:$E$114,"Aprovado")</f>
        <v/>
      </c>
    </row>
    <row r="19">
      <c r="A19" s="3" t="inlineStr">
        <is>
          <t>Testes da API no SQLite: pulados (funcionalidade futura)</t>
        </is>
      </c>
      <c r="B19" s="8">
        <f>COUNTIF('Testes automatizados'!$E$2:$E$114,"Pulado")</f>
        <v/>
      </c>
    </row>
    <row r="20">
      <c r="A20" s="3" t="inlineStr">
        <is>
          <t>Testes da API no SQLite: reprovados</t>
        </is>
      </c>
      <c r="B20" s="8">
        <f>COUNTIF('Testes automatizados'!$E$2:$E$114,"Reprovado")</f>
        <v/>
      </c>
    </row>
    <row r="21">
      <c r="A21" s="3" t="inlineStr">
        <is>
          <t>Testes da API no PostgreSQL 16: aprovados</t>
        </is>
      </c>
      <c r="B21" s="8">
        <f>COUNTIF('Testes automatizados'!$G$2:$G$114,"Aprovado")</f>
        <v/>
      </c>
    </row>
    <row r="22">
      <c r="A22" s="3" t="inlineStr">
        <is>
          <t>Testes da API no PostgreSQL 16: pulados</t>
        </is>
      </c>
      <c r="B22" s="8">
        <f>COUNTIF('Testes automatizados'!$G$2:$G$114,"Pulado")</f>
        <v/>
      </c>
    </row>
    <row r="23">
      <c r="A23" s="3" t="inlineStr">
        <is>
          <t>Testes da API no PostgreSQL 16: reprovados</t>
        </is>
      </c>
      <c r="B23" s="8">
        <f>COUNTIF('Testes automatizados'!$G$2:$G$114,"Reprovado")</f>
        <v/>
      </c>
    </row>
    <row r="24">
      <c r="A24" s="3" t="inlineStr">
        <is>
          <t>Checagens no navegador: aprovadas</t>
        </is>
      </c>
      <c r="B24" s="8">
        <f>COUNTIF('Testes no navegador'!$E$2:$E$60,"Aprovado")</f>
        <v/>
      </c>
    </row>
    <row r="25">
      <c r="A25" s="3" t="inlineStr">
        <is>
          <t>Checagens no navegador: reprovadas</t>
        </is>
      </c>
      <c r="B25" s="8">
        <f>COUNTIF('Testes no navegador'!$E$2:$E$60,"Reprovado")</f>
        <v/>
      </c>
    </row>
    <row r="26">
      <c r="A26" s="3" t="inlineStr">
        <is>
          <t>Carga RNF01: p95 em segundos (meta 3 s)</t>
        </is>
      </c>
      <c r="B26" s="9">
        <f>'Desempenho RNF01'!B6</f>
        <v/>
      </c>
    </row>
    <row r="27">
      <c r="A27" s="3" t="inlineStr">
        <is>
          <t>Carga RNF01: resultado</t>
        </is>
      </c>
      <c r="B27" s="8">
        <f>'Desempenho RNF01'!B11</f>
        <v/>
      </c>
    </row>
    <row r="29">
      <c r="A29" s="2" t="inlineStr">
        <is>
          <t>Funções de teste da API: 113 (122 execuções contando os parâmetros). Um teste pulado é um caso Pendente na matriz: a funcionalidade ainda não existe (CT-01.10-06 depende do módulo de ideias; CT-06.01-04, da troca de orientador pela coordenação).</t>
        </is>
      </c>
    </row>
    <row r="30">
      <c r="A30" s="2" t="inlineStr">
        <is>
          <t>Os CTs com tempo simulado (expiração de link, bloqueio de 15 min, sessão de 60 min) adiantam o relógio no banco em vez de esperar; ficam como Aprovado com essa observação.</t>
        </is>
      </c>
    </row>
    <row r="31">
      <c r="A31" s="2" t="inlineStr">
        <is>
          <t>Os totais desta aba são fórmulas sobre as outras abas e se atualizam ao abrir o arquivo; verde = valor vindo de outra aba.</t>
        </is>
      </c>
    </row>
    <row r="33">
      <c r="A33" s="5" t="inlineStr">
        <is>
          <t>Por requisito</t>
        </is>
      </c>
    </row>
    <row r="34">
      <c r="A34" s="10" t="inlineStr">
        <is>
          <t>Requisito</t>
        </is>
      </c>
      <c r="B34" s="10" t="inlineStr">
        <is>
          <t>CTs</t>
        </is>
      </c>
      <c r="C34" s="10" t="inlineStr">
        <is>
          <t>Aprovados</t>
        </is>
      </c>
      <c r="D34" s="10" t="inlineStr">
        <is>
          <t>Pendentes</t>
        </is>
      </c>
      <c r="E34" s="10" t="inlineStr">
        <is>
          <t>Não executados</t>
        </is>
      </c>
      <c r="F34" s="10" t="inlineStr">
        <is>
          <t>Reprovados</t>
        </is>
      </c>
    </row>
    <row r="35">
      <c r="A35" s="11" t="inlineStr">
        <is>
          <t>RBN01.01</t>
        </is>
      </c>
      <c r="B35" s="12">
        <f>COUNTIF('Execucao por CT'!$A$2:$A$103,A35)</f>
        <v/>
      </c>
      <c r="C35" s="12">
        <f>COUNTIFS('Execucao por CT'!$A$2:$A$103,$A35,'Execucao por CT'!$L$2:$L$103,"Aprovado")</f>
        <v/>
      </c>
      <c r="D35" s="12">
        <f>COUNTIFS('Execucao por CT'!$A$2:$A$103,$A35,'Execucao por CT'!$L$2:$L$103,"Pendente")</f>
        <v/>
      </c>
      <c r="E35" s="12">
        <f>COUNTIFS('Execucao por CT'!$A$2:$A$103,$A35,'Execucao por CT'!$L$2:$L$103,"Não executado")</f>
        <v/>
      </c>
      <c r="F35" s="12">
        <f>COUNTIFS('Execucao por CT'!$A$2:$A$103,$A35,'Execucao por CT'!$L$2:$L$103,"Reprovado")</f>
        <v/>
      </c>
    </row>
    <row r="36">
      <c r="A36" s="11" t="inlineStr">
        <is>
          <t>RBN01.02</t>
        </is>
      </c>
      <c r="B36" s="12">
        <f>COUNTIF('Execucao por CT'!$A$2:$A$103,A36)</f>
        <v/>
      </c>
      <c r="C36" s="12">
        <f>COUNTIFS('Execucao por CT'!$A$2:$A$103,$A36,'Execucao por CT'!$L$2:$L$103,"Aprovado")</f>
        <v/>
      </c>
      <c r="D36" s="12">
        <f>COUNTIFS('Execucao por CT'!$A$2:$A$103,$A36,'Execucao por CT'!$L$2:$L$103,"Pendente")</f>
        <v/>
      </c>
      <c r="E36" s="12">
        <f>COUNTIFS('Execucao por CT'!$A$2:$A$103,$A36,'Execucao por CT'!$L$2:$L$103,"Não executado")</f>
        <v/>
      </c>
      <c r="F36" s="12">
        <f>COUNTIFS('Execucao por CT'!$A$2:$A$103,$A36,'Execucao por CT'!$L$2:$L$103,"Reprovado")</f>
        <v/>
      </c>
    </row>
    <row r="37">
      <c r="A37" s="11" t="inlineStr">
        <is>
          <t>RBN01.03</t>
        </is>
      </c>
      <c r="B37" s="12">
        <f>COUNTIF('Execucao por CT'!$A$2:$A$103,A37)</f>
        <v/>
      </c>
      <c r="C37" s="12">
        <f>COUNTIFS('Execucao por CT'!$A$2:$A$103,$A37,'Execucao por CT'!$L$2:$L$103,"Aprovado")</f>
        <v/>
      </c>
      <c r="D37" s="12">
        <f>COUNTIFS('Execucao por CT'!$A$2:$A$103,$A37,'Execucao por CT'!$L$2:$L$103,"Pendente")</f>
        <v/>
      </c>
      <c r="E37" s="12">
        <f>COUNTIFS('Execucao por CT'!$A$2:$A$103,$A37,'Execucao por CT'!$L$2:$L$103,"Não executado")</f>
        <v/>
      </c>
      <c r="F37" s="12">
        <f>COUNTIFS('Execucao por CT'!$A$2:$A$103,$A37,'Execucao por CT'!$L$2:$L$103,"Reprovado")</f>
        <v/>
      </c>
    </row>
    <row r="38">
      <c r="A38" s="11" t="inlineStr">
        <is>
          <t>RBN01.04</t>
        </is>
      </c>
      <c r="B38" s="12">
        <f>COUNTIF('Execucao por CT'!$A$2:$A$103,A38)</f>
        <v/>
      </c>
      <c r="C38" s="12">
        <f>COUNTIFS('Execucao por CT'!$A$2:$A$103,$A38,'Execucao por CT'!$L$2:$L$103,"Aprovado")</f>
        <v/>
      </c>
      <c r="D38" s="12">
        <f>COUNTIFS('Execucao por CT'!$A$2:$A$103,$A38,'Execucao por CT'!$L$2:$L$103,"Pendente")</f>
        <v/>
      </c>
      <c r="E38" s="12">
        <f>COUNTIFS('Execucao por CT'!$A$2:$A$103,$A38,'Execucao por CT'!$L$2:$L$103,"Não executado")</f>
        <v/>
      </c>
      <c r="F38" s="12">
        <f>COUNTIFS('Execucao por CT'!$A$2:$A$103,$A38,'Execucao por CT'!$L$2:$L$103,"Reprovado")</f>
        <v/>
      </c>
    </row>
    <row r="39">
      <c r="A39" s="11" t="inlineStr">
        <is>
          <t>RBN01.05</t>
        </is>
      </c>
      <c r="B39" s="12">
        <f>COUNTIF('Execucao por CT'!$A$2:$A$103,A39)</f>
        <v/>
      </c>
      <c r="C39" s="12">
        <f>COUNTIFS('Execucao por CT'!$A$2:$A$103,$A39,'Execucao por CT'!$L$2:$L$103,"Aprovado")</f>
        <v/>
      </c>
      <c r="D39" s="12">
        <f>COUNTIFS('Execucao por CT'!$A$2:$A$103,$A39,'Execucao por CT'!$L$2:$L$103,"Pendente")</f>
        <v/>
      </c>
      <c r="E39" s="12">
        <f>COUNTIFS('Execucao por CT'!$A$2:$A$103,$A39,'Execucao por CT'!$L$2:$L$103,"Não executado")</f>
        <v/>
      </c>
      <c r="F39" s="12">
        <f>COUNTIFS('Execucao por CT'!$A$2:$A$103,$A39,'Execucao por CT'!$L$2:$L$103,"Reprovado")</f>
        <v/>
      </c>
    </row>
    <row r="40">
      <c r="A40" s="11" t="inlineStr">
        <is>
          <t>RBN01.06</t>
        </is>
      </c>
      <c r="B40" s="12">
        <f>COUNTIF('Execucao por CT'!$A$2:$A$103,A40)</f>
        <v/>
      </c>
      <c r="C40" s="12">
        <f>COUNTIFS('Execucao por CT'!$A$2:$A$103,$A40,'Execucao por CT'!$L$2:$L$103,"Aprovado")</f>
        <v/>
      </c>
      <c r="D40" s="12">
        <f>COUNTIFS('Execucao por CT'!$A$2:$A$103,$A40,'Execucao por CT'!$L$2:$L$103,"Pendente")</f>
        <v/>
      </c>
      <c r="E40" s="12">
        <f>COUNTIFS('Execucao por CT'!$A$2:$A$103,$A40,'Execucao por CT'!$L$2:$L$103,"Não executado")</f>
        <v/>
      </c>
      <c r="F40" s="12">
        <f>COUNTIFS('Execucao por CT'!$A$2:$A$103,$A40,'Execucao por CT'!$L$2:$L$103,"Reprovado")</f>
        <v/>
      </c>
    </row>
    <row r="41">
      <c r="A41" s="11" t="inlineStr">
        <is>
          <t>RBN01.07</t>
        </is>
      </c>
      <c r="B41" s="12">
        <f>COUNTIF('Execucao por CT'!$A$2:$A$103,A41)</f>
        <v/>
      </c>
      <c r="C41" s="12">
        <f>COUNTIFS('Execucao por CT'!$A$2:$A$103,$A41,'Execucao por CT'!$L$2:$L$103,"Aprovado")</f>
        <v/>
      </c>
      <c r="D41" s="12">
        <f>COUNTIFS('Execucao por CT'!$A$2:$A$103,$A41,'Execucao por CT'!$L$2:$L$103,"Pendente")</f>
        <v/>
      </c>
      <c r="E41" s="12">
        <f>COUNTIFS('Execucao por CT'!$A$2:$A$103,$A41,'Execucao por CT'!$L$2:$L$103,"Não executado")</f>
        <v/>
      </c>
      <c r="F41" s="12">
        <f>COUNTIFS('Execucao por CT'!$A$2:$A$103,$A41,'Execucao por CT'!$L$2:$L$103,"Reprovado")</f>
        <v/>
      </c>
    </row>
    <row r="42">
      <c r="A42" s="11" t="inlineStr">
        <is>
          <t>RBN01.08</t>
        </is>
      </c>
      <c r="B42" s="12">
        <f>COUNTIF('Execucao por CT'!$A$2:$A$103,A42)</f>
        <v/>
      </c>
      <c r="C42" s="12">
        <f>COUNTIFS('Execucao por CT'!$A$2:$A$103,$A42,'Execucao por CT'!$L$2:$L$103,"Aprovado")</f>
        <v/>
      </c>
      <c r="D42" s="12">
        <f>COUNTIFS('Execucao por CT'!$A$2:$A$103,$A42,'Execucao por CT'!$L$2:$L$103,"Pendente")</f>
        <v/>
      </c>
      <c r="E42" s="12">
        <f>COUNTIFS('Execucao por CT'!$A$2:$A$103,$A42,'Execucao por CT'!$L$2:$L$103,"Não executado")</f>
        <v/>
      </c>
      <c r="F42" s="12">
        <f>COUNTIFS('Execucao por CT'!$A$2:$A$103,$A42,'Execucao por CT'!$L$2:$L$103,"Reprovado")</f>
        <v/>
      </c>
    </row>
    <row r="43">
      <c r="A43" s="11" t="inlineStr">
        <is>
          <t>RBN01.09</t>
        </is>
      </c>
      <c r="B43" s="12">
        <f>COUNTIF('Execucao por CT'!$A$2:$A$103,A43)</f>
        <v/>
      </c>
      <c r="C43" s="12">
        <f>COUNTIFS('Execucao por CT'!$A$2:$A$103,$A43,'Execucao por CT'!$L$2:$L$103,"Aprovado")</f>
        <v/>
      </c>
      <c r="D43" s="12">
        <f>COUNTIFS('Execucao por CT'!$A$2:$A$103,$A43,'Execucao por CT'!$L$2:$L$103,"Pendente")</f>
        <v/>
      </c>
      <c r="E43" s="12">
        <f>COUNTIFS('Execucao por CT'!$A$2:$A$103,$A43,'Execucao por CT'!$L$2:$L$103,"Não executado")</f>
        <v/>
      </c>
      <c r="F43" s="12">
        <f>COUNTIFS('Execucao por CT'!$A$2:$A$103,$A43,'Execucao por CT'!$L$2:$L$103,"Reprovado")</f>
        <v/>
      </c>
    </row>
    <row r="44">
      <c r="A44" s="11" t="inlineStr">
        <is>
          <t>RBN01.10</t>
        </is>
      </c>
      <c r="B44" s="12">
        <f>COUNTIF('Execucao por CT'!$A$2:$A$103,A44)</f>
        <v/>
      </c>
      <c r="C44" s="12">
        <f>COUNTIFS('Execucao por CT'!$A$2:$A$103,$A44,'Execucao por CT'!$L$2:$L$103,"Aprovado")</f>
        <v/>
      </c>
      <c r="D44" s="12">
        <f>COUNTIFS('Execucao por CT'!$A$2:$A$103,$A44,'Execucao por CT'!$L$2:$L$103,"Pendente")</f>
        <v/>
      </c>
      <c r="E44" s="12">
        <f>COUNTIFS('Execucao por CT'!$A$2:$A$103,$A44,'Execucao por CT'!$L$2:$L$103,"Não executado")</f>
        <v/>
      </c>
      <c r="F44" s="12">
        <f>COUNTIFS('Execucao por CT'!$A$2:$A$103,$A44,'Execucao por CT'!$L$2:$L$103,"Reprovado")</f>
        <v/>
      </c>
    </row>
    <row r="45">
      <c r="A45" s="11" t="inlineStr">
        <is>
          <t>RBN03.01</t>
        </is>
      </c>
      <c r="B45" s="12">
        <f>COUNTIF('Execucao por CT'!$A$2:$A$103,A45)</f>
        <v/>
      </c>
      <c r="C45" s="12">
        <f>COUNTIFS('Execucao por CT'!$A$2:$A$103,$A45,'Execucao por CT'!$L$2:$L$103,"Aprovado")</f>
        <v/>
      </c>
      <c r="D45" s="12">
        <f>COUNTIFS('Execucao por CT'!$A$2:$A$103,$A45,'Execucao por CT'!$L$2:$L$103,"Pendente")</f>
        <v/>
      </c>
      <c r="E45" s="12">
        <f>COUNTIFS('Execucao por CT'!$A$2:$A$103,$A45,'Execucao por CT'!$L$2:$L$103,"Não executado")</f>
        <v/>
      </c>
      <c r="F45" s="12">
        <f>COUNTIFS('Execucao por CT'!$A$2:$A$103,$A45,'Execucao por CT'!$L$2:$L$103,"Reprovado")</f>
        <v/>
      </c>
    </row>
    <row r="46">
      <c r="A46" s="11" t="inlineStr">
        <is>
          <t>RBN03.02</t>
        </is>
      </c>
      <c r="B46" s="12">
        <f>COUNTIF('Execucao por CT'!$A$2:$A$103,A46)</f>
        <v/>
      </c>
      <c r="C46" s="12">
        <f>COUNTIFS('Execucao por CT'!$A$2:$A$103,$A46,'Execucao por CT'!$L$2:$L$103,"Aprovado")</f>
        <v/>
      </c>
      <c r="D46" s="12">
        <f>COUNTIFS('Execucao por CT'!$A$2:$A$103,$A46,'Execucao por CT'!$L$2:$L$103,"Pendente")</f>
        <v/>
      </c>
      <c r="E46" s="12">
        <f>COUNTIFS('Execucao por CT'!$A$2:$A$103,$A46,'Execucao por CT'!$L$2:$L$103,"Não executado")</f>
        <v/>
      </c>
      <c r="F46" s="12">
        <f>COUNTIFS('Execucao por CT'!$A$2:$A$103,$A46,'Execucao por CT'!$L$2:$L$103,"Reprovado")</f>
        <v/>
      </c>
    </row>
    <row r="47">
      <c r="A47" s="11" t="inlineStr">
        <is>
          <t>RBN03.03</t>
        </is>
      </c>
      <c r="B47" s="12">
        <f>COUNTIF('Execucao por CT'!$A$2:$A$103,A47)</f>
        <v/>
      </c>
      <c r="C47" s="12">
        <f>COUNTIFS('Execucao por CT'!$A$2:$A$103,$A47,'Execucao por CT'!$L$2:$L$103,"Aprovado")</f>
        <v/>
      </c>
      <c r="D47" s="12">
        <f>COUNTIFS('Execucao por CT'!$A$2:$A$103,$A47,'Execucao por CT'!$L$2:$L$103,"Pendente")</f>
        <v/>
      </c>
      <c r="E47" s="12">
        <f>COUNTIFS('Execucao por CT'!$A$2:$A$103,$A47,'Execucao por CT'!$L$2:$L$103,"Não executado")</f>
        <v/>
      </c>
      <c r="F47" s="12">
        <f>COUNTIFS('Execucao por CT'!$A$2:$A$103,$A47,'Execucao por CT'!$L$2:$L$103,"Reprovado")</f>
        <v/>
      </c>
    </row>
    <row r="48">
      <c r="A48" s="11" t="inlineStr">
        <is>
          <t>RBN03.04</t>
        </is>
      </c>
      <c r="B48" s="12">
        <f>COUNTIF('Execucao por CT'!$A$2:$A$103,A48)</f>
        <v/>
      </c>
      <c r="C48" s="12">
        <f>COUNTIFS('Execucao por CT'!$A$2:$A$103,$A48,'Execucao por CT'!$L$2:$L$103,"Aprovado")</f>
        <v/>
      </c>
      <c r="D48" s="12">
        <f>COUNTIFS('Execucao por CT'!$A$2:$A$103,$A48,'Execucao por CT'!$L$2:$L$103,"Pendente")</f>
        <v/>
      </c>
      <c r="E48" s="12">
        <f>COUNTIFS('Execucao por CT'!$A$2:$A$103,$A48,'Execucao por CT'!$L$2:$L$103,"Não executado")</f>
        <v/>
      </c>
      <c r="F48" s="12">
        <f>COUNTIFS('Execucao por CT'!$A$2:$A$103,$A48,'Execucao por CT'!$L$2:$L$103,"Reprovado")</f>
        <v/>
      </c>
    </row>
    <row r="49">
      <c r="A49" s="11" t="inlineStr">
        <is>
          <t>RBN06.01</t>
        </is>
      </c>
      <c r="B49" s="12">
        <f>COUNTIF('Execucao por CT'!$A$2:$A$103,A49)</f>
        <v/>
      </c>
      <c r="C49" s="12">
        <f>COUNTIFS('Execucao por CT'!$A$2:$A$103,$A49,'Execucao por CT'!$L$2:$L$103,"Aprovado")</f>
        <v/>
      </c>
      <c r="D49" s="12">
        <f>COUNTIFS('Execucao por CT'!$A$2:$A$103,$A49,'Execucao por CT'!$L$2:$L$103,"Pendente")</f>
        <v/>
      </c>
      <c r="E49" s="12">
        <f>COUNTIFS('Execucao por CT'!$A$2:$A$103,$A49,'Execucao por CT'!$L$2:$L$103,"Não executado")</f>
        <v/>
      </c>
      <c r="F49" s="12">
        <f>COUNTIFS('Execucao por CT'!$A$2:$A$103,$A49,'Execucao por CT'!$L$2:$L$103,"Reprovado")</f>
        <v/>
      </c>
    </row>
  </sheetData>
  <conditionalFormatting sqref="A11:A14">
    <cfRule type="expression" priority="1" dxfId="0">
      <formula>$A11="Aprovado"</formula>
    </cfRule>
    <cfRule type="expression" priority="2" dxfId="1">
      <formula>$A11="Pendente"</formula>
    </cfRule>
    <cfRule type="expression" priority="3" dxfId="2">
      <formula>$A11="Reprovado"</formula>
    </cfRule>
    <cfRule type="expression" priority="4" dxfId="3">
      <formula>$A11="Não executado"</formula>
    </cfRule>
    <cfRule type="expression" priority="5" dxfId="1">
      <formula>$A11="Pulado"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30" customWidth="1" min="4" max="4"/>
    <col width="12" customWidth="1" min="5" max="5"/>
    <col width="16" customWidth="1" min="6" max="6"/>
    <col width="48" customWidth="1" min="7" max="7"/>
    <col width="11" customWidth="1" min="8" max="8"/>
    <col width="12" customWidth="1" min="9" max="9"/>
    <col width="11" customWidth="1" min="10" max="10"/>
    <col width="10" customWidth="1" min="11" max="11"/>
    <col width="14" customWidth="1" min="12" max="12"/>
    <col width="34" customWidth="1" min="13" max="13"/>
    <col width="44" customWidth="1" min="14" max="14"/>
    <col width="44" customWidth="1" min="15" max="15"/>
  </cols>
  <sheetData>
    <row r="1">
      <c r="A1" s="13" t="inlineStr">
        <is>
          <t>Requisito</t>
        </is>
      </c>
      <c r="B1" s="13" t="inlineStr">
        <is>
          <t>CT</t>
        </is>
      </c>
      <c r="C1" s="13" t="inlineStr">
        <is>
          <t>Tipo</t>
        </is>
      </c>
      <c r="D1" s="13" t="inlineStr">
        <is>
          <t>Passos</t>
        </is>
      </c>
      <c r="E1" s="13" t="inlineStr">
        <is>
          <t>Situação na matriz</t>
        </is>
      </c>
      <c r="F1" s="13" t="inlineStr">
        <is>
          <t>Como foi executado</t>
        </is>
      </c>
      <c r="G1" s="13" t="inlineStr">
        <is>
          <t>Teste(s) automatizado(s)</t>
        </is>
      </c>
      <c r="H1" s="13" t="inlineStr">
        <is>
          <t>API · SQLite</t>
        </is>
      </c>
      <c r="I1" s="13" t="inlineStr">
        <is>
          <t>API · PostgreSQL 16</t>
        </is>
      </c>
      <c r="J1" s="13" t="inlineStr">
        <is>
          <t>Navegador</t>
        </is>
      </c>
      <c r="K1" s="13" t="inlineStr">
        <is>
          <t>Carga</t>
        </is>
      </c>
      <c r="L1" s="13" t="inlineStr">
        <is>
          <t>Resultado final</t>
        </is>
      </c>
      <c r="M1" s="13" t="inlineStr">
        <is>
          <t>Evidência</t>
        </is>
      </c>
      <c r="N1" s="13" t="inlineStr">
        <is>
          <t>Checagens no navegador</t>
        </is>
      </c>
      <c r="O1" s="13" t="inlineStr">
        <is>
          <t>Observação</t>
        </is>
      </c>
    </row>
    <row r="2">
      <c r="A2" s="14" t="inlineStr">
        <is>
          <t>RBN01.01</t>
        </is>
      </c>
      <c r="B2" s="14" t="inlineStr">
        <is>
          <t>CT-01.01-01</t>
        </is>
      </c>
      <c r="C2" s="14" t="inlineStr">
        <is>
          <t>Funcional</t>
        </is>
      </c>
      <c r="D2" s="14" t="inlineStr">
        <is>
          <t>Cadastrar "Maria Silva", e-mail institucional, cargo Orientador, curso EC</t>
        </is>
      </c>
      <c r="E2" s="14" t="inlineStr">
        <is>
          <t>Parcial</t>
        </is>
      </c>
      <c r="F2" s="14" t="inlineStr">
        <is>
          <t>API (pytest)</t>
        </is>
      </c>
      <c r="G2" s="14" t="inlineStr">
        <is>
          <t>test_usuarios.py::test_ct_01_01_01_docente_nasce_inativo_e_sem_senha</t>
        </is>
      </c>
      <c r="H2" s="14" t="inlineStr">
        <is>
          <t>Aprovado</t>
        </is>
      </c>
      <c r="I2" s="14" t="inlineStr">
        <is>
          <t>Aprovado</t>
        </is>
      </c>
      <c r="J2" s="14" t="inlineStr">
        <is>
          <t>—</t>
        </is>
      </c>
      <c r="K2" s="14" t="inlineStr">
        <is>
          <t>—</t>
        </is>
      </c>
      <c r="L2" s="14" t="inlineStr">
        <is>
          <t>Aprovado</t>
        </is>
      </c>
      <c r="M2" s="14" t="inlineStr">
        <is>
          <t>junit-sqlite.xml; junit-postgresql.xml</t>
        </is>
      </c>
      <c r="N2" s="14" t="inlineStr">
        <is>
          <t>—</t>
        </is>
      </c>
      <c r="O2" s="14" t="inlineStr">
        <is>
          <t>Cria e confere o estado; o e-mail é conferido em CT-01.05-01.</t>
        </is>
      </c>
    </row>
    <row r="3">
      <c r="A3" s="14" t="inlineStr">
        <is>
          <t>RBN01.01</t>
        </is>
      </c>
      <c r="B3" s="14" t="inlineStr">
        <is>
          <t>CT-01.01-02</t>
        </is>
      </c>
      <c r="C3" s="14" t="inlineStr">
        <is>
          <t>Negativo</t>
        </is>
      </c>
      <c r="D3" s="14" t="inlineStr">
        <is>
          <t>Enviar sem e-mail</t>
        </is>
      </c>
      <c r="E3" s="14" t="inlineStr">
        <is>
          <t>Coberto</t>
        </is>
      </c>
      <c r="F3" s="14" t="inlineStr">
        <is>
          <t>API (pytest)</t>
        </is>
      </c>
      <c r="G3" s="14" t="inlineStr">
        <is>
          <t>test_usuarios.py::test_ct_01_01_02_campo_obrigatorio_vazio_responde_400</t>
        </is>
      </c>
      <c r="H3" s="14" t="inlineStr">
        <is>
          <t>Aprovado</t>
        </is>
      </c>
      <c r="I3" s="14" t="inlineStr">
        <is>
          <t>Aprovado</t>
        </is>
      </c>
      <c r="J3" s="14" t="inlineStr">
        <is>
          <t>—</t>
        </is>
      </c>
      <c r="K3" s="14" t="inlineStr">
        <is>
          <t>—</t>
        </is>
      </c>
      <c r="L3" s="14" t="inlineStr">
        <is>
          <t>Aprovado</t>
        </is>
      </c>
      <c r="M3" s="14" t="inlineStr">
        <is>
          <t>junit-sqlite.xml; junit-postgresql.xml</t>
        </is>
      </c>
      <c r="N3" s="14" t="inlineStr">
        <is>
          <t>—</t>
        </is>
      </c>
      <c r="O3" s="14" t="inlineStr">
        <is>
          <t>—</t>
        </is>
      </c>
    </row>
    <row r="4">
      <c r="A4" s="14" t="inlineStr">
        <is>
          <t>RBN01.01</t>
        </is>
      </c>
      <c r="B4" s="14" t="inlineStr">
        <is>
          <t>CT-01.01-03</t>
        </is>
      </c>
      <c r="C4" s="14" t="inlineStr">
        <is>
          <t>Negativo</t>
        </is>
      </c>
      <c r="D4" s="14" t="inlineStr">
        <is>
          <t>Cadastrar com o mesmo e-mail</t>
        </is>
      </c>
      <c r="E4" s="14" t="inlineStr">
        <is>
          <t>Coberto</t>
        </is>
      </c>
      <c r="F4" s="14" t="inlineStr">
        <is>
          <t>API (pytest)</t>
        </is>
      </c>
      <c r="G4" s="14" t="inlineStr">
        <is>
          <t>test_usuarios.py::test_ct_01_01_03_email_duplicado_ignora_maiusculas</t>
        </is>
      </c>
      <c r="H4" s="14" t="inlineStr">
        <is>
          <t>Aprovado</t>
        </is>
      </c>
      <c r="I4" s="14" t="inlineStr">
        <is>
          <t>Aprovado</t>
        </is>
      </c>
      <c r="J4" s="14" t="inlineStr">
        <is>
          <t>—</t>
        </is>
      </c>
      <c r="K4" s="14" t="inlineStr">
        <is>
          <t>—</t>
        </is>
      </c>
      <c r="L4" s="14" t="inlineStr">
        <is>
          <t>Aprovado</t>
        </is>
      </c>
      <c r="M4" s="14" t="inlineStr">
        <is>
          <t>junit-sqlite.xml; junit-postgresql.xml</t>
        </is>
      </c>
      <c r="N4" s="14" t="inlineStr">
        <is>
          <t>—</t>
        </is>
      </c>
      <c r="O4" s="14" t="inlineStr">
        <is>
          <t>—</t>
        </is>
      </c>
    </row>
    <row r="5">
      <c r="A5" s="14" t="inlineStr">
        <is>
          <t>RBN01.01</t>
        </is>
      </c>
      <c r="B5" s="14" t="inlineStr">
        <is>
          <t>CT-01.01-04</t>
        </is>
      </c>
      <c r="C5" s="14" t="inlineStr">
        <is>
          <t>Funcional</t>
        </is>
      </c>
      <c r="D5" s="14" t="inlineStr">
        <is>
          <t>Atribuir também perfil coordenador</t>
        </is>
      </c>
      <c r="E5" s="14" t="inlineStr">
        <is>
          <t>Coberto</t>
        </is>
      </c>
      <c r="F5" s="14" t="inlineStr">
        <is>
          <t>API (pytest)</t>
        </is>
      </c>
      <c r="G5" s="14" t="inlineStr">
        <is>
          <t>test_cts_complementares.py::test_ct_01_01_04_docente_recebe_tambem_o_perfil_de_coordenador</t>
        </is>
      </c>
      <c r="H5" s="14" t="inlineStr">
        <is>
          <t>Aprovado</t>
        </is>
      </c>
      <c r="I5" s="14" t="inlineStr">
        <is>
          <t>Aprovado</t>
        </is>
      </c>
      <c r="J5" s="14" t="inlineStr">
        <is>
          <t>—</t>
        </is>
      </c>
      <c r="K5" s="14" t="inlineStr">
        <is>
          <t>—</t>
        </is>
      </c>
      <c r="L5" s="14" t="inlineStr">
        <is>
          <t>Aprovado</t>
        </is>
      </c>
      <c r="M5" s="14" t="inlineStr">
        <is>
          <t>junit-sqlite.xml; junit-postgresql.xml</t>
        </is>
      </c>
      <c r="N5" s="14" t="inlineStr">
        <is>
          <t>—</t>
        </is>
      </c>
      <c r="O5" s="14" t="inlineStr">
        <is>
          <t>—</t>
        </is>
      </c>
    </row>
    <row r="6">
      <c r="A6" s="14" t="inlineStr">
        <is>
          <t>RBN01.01</t>
        </is>
      </c>
      <c r="B6" s="14" t="inlineStr">
        <is>
          <t>CT-01.01-05</t>
        </is>
      </c>
      <c r="C6" s="14" t="inlineStr">
        <is>
          <t>Funcional</t>
        </is>
      </c>
      <c r="D6" s="14" t="inlineStr">
        <is>
          <t>Cadastrar cargo Coordenador sem curso</t>
        </is>
      </c>
      <c r="E6" s="14" t="inlineStr">
        <is>
          <t>Coberto</t>
        </is>
      </c>
      <c r="F6" s="14" t="inlineStr">
        <is>
          <t>API (pytest)</t>
        </is>
      </c>
      <c r="G6" s="14" t="inlineStr">
        <is>
          <t>test_usuarios.py::test_ct_01_01_05_coordenador_nao_exige_curso</t>
        </is>
      </c>
      <c r="H6" s="14" t="inlineStr">
        <is>
          <t>Aprovado</t>
        </is>
      </c>
      <c r="I6" s="14" t="inlineStr">
        <is>
          <t>Aprovado</t>
        </is>
      </c>
      <c r="J6" s="14" t="inlineStr">
        <is>
          <t>—</t>
        </is>
      </c>
      <c r="K6" s="14" t="inlineStr">
        <is>
          <t>—</t>
        </is>
      </c>
      <c r="L6" s="14" t="inlineStr">
        <is>
          <t>Aprovado</t>
        </is>
      </c>
      <c r="M6" s="14" t="inlineStr">
        <is>
          <t>junit-sqlite.xml; junit-postgresql.xml</t>
        </is>
      </c>
      <c r="N6" s="14" t="inlineStr">
        <is>
          <t>—</t>
        </is>
      </c>
      <c r="O6" s="14" t="inlineStr">
        <is>
          <t>—</t>
        </is>
      </c>
    </row>
    <row r="7">
      <c r="A7" s="14" t="inlineStr">
        <is>
          <t>RBN01.01</t>
        </is>
      </c>
      <c r="B7" s="14" t="inlineStr">
        <is>
          <t>CT-01.01-06</t>
        </is>
      </c>
      <c r="C7" s="14" t="inlineStr">
        <is>
          <t>Segurança</t>
        </is>
      </c>
      <c r="D7" s="14" t="inlineStr">
        <is>
          <t>POST de cadastro de docente</t>
        </is>
      </c>
      <c r="E7" s="14" t="inlineStr">
        <is>
          <t>Coberto</t>
        </is>
      </c>
      <c r="F7" s="14" t="inlineStr">
        <is>
          <t>API (pytest)</t>
        </is>
      </c>
      <c r="G7" s="14" t="inlineStr">
        <is>
          <t>test_usuarios.py::test_ct_01_01_06_quem_nao_e_coordenador_recebe_403</t>
        </is>
      </c>
      <c r="H7" s="14" t="inlineStr">
        <is>
          <t>Aprovado</t>
        </is>
      </c>
      <c r="I7" s="14" t="inlineStr">
        <is>
          <t>Aprovado</t>
        </is>
      </c>
      <c r="J7" s="14" t="inlineStr">
        <is>
          <t>—</t>
        </is>
      </c>
      <c r="K7" s="14" t="inlineStr">
        <is>
          <t>—</t>
        </is>
      </c>
      <c r="L7" s="14" t="inlineStr">
        <is>
          <t>Aprovado</t>
        </is>
      </c>
      <c r="M7" s="14" t="inlineStr">
        <is>
          <t>junit-sqlite.xml; junit-postgresql.xml</t>
        </is>
      </c>
      <c r="N7" s="14" t="inlineStr">
        <is>
          <t>—</t>
        </is>
      </c>
      <c r="O7" s="14" t="inlineStr">
        <is>
          <t>—</t>
        </is>
      </c>
    </row>
    <row r="8">
      <c r="A8" s="14" t="inlineStr">
        <is>
          <t>RBN01.01</t>
        </is>
      </c>
      <c r="B8" s="14" t="inlineStr">
        <is>
          <t>CT-01.01-07</t>
        </is>
      </c>
      <c r="C8" s="14" t="inlineStr">
        <is>
          <t>Auditoria</t>
        </is>
      </c>
      <c r="D8" s="14" t="inlineStr">
        <is>
          <t>Consultar log</t>
        </is>
      </c>
      <c r="E8" s="14" t="inlineStr">
        <is>
          <t>Coberto</t>
        </is>
      </c>
      <c r="F8" s="14" t="inlineStr">
        <is>
          <t>API (pytest)</t>
        </is>
      </c>
      <c r="G8" s="14" t="inlineStr">
        <is>
          <t>test_usuarios.py::test_ct_01_01_07_criacao_fica_no_log</t>
        </is>
      </c>
      <c r="H8" s="14" t="inlineStr">
        <is>
          <t>Aprovado</t>
        </is>
      </c>
      <c r="I8" s="14" t="inlineStr">
        <is>
          <t>Aprovado</t>
        </is>
      </c>
      <c r="J8" s="14" t="inlineStr">
        <is>
          <t>—</t>
        </is>
      </c>
      <c r="K8" s="14" t="inlineStr">
        <is>
          <t>—</t>
        </is>
      </c>
      <c r="L8" s="14" t="inlineStr">
        <is>
          <t>Aprovado</t>
        </is>
      </c>
      <c r="M8" s="14" t="inlineStr">
        <is>
          <t>junit-sqlite.xml; junit-postgresql.xml</t>
        </is>
      </c>
      <c r="N8" s="14" t="inlineStr">
        <is>
          <t>—</t>
        </is>
      </c>
      <c r="O8" s="14" t="inlineStr">
        <is>
          <t>—</t>
        </is>
      </c>
    </row>
    <row r="9">
      <c r="A9" s="14" t="inlineStr">
        <is>
          <t>RBN01.01</t>
        </is>
      </c>
      <c r="B9" s="14" t="inlineStr">
        <is>
          <t>CT-01.01-08</t>
        </is>
      </c>
      <c r="C9" s="14" t="inlineStr">
        <is>
          <t>Não funcional</t>
        </is>
      </c>
      <c r="D9" s="14" t="inlineStr">
        <is>
          <t>Preencher formulário</t>
        </is>
      </c>
      <c r="E9" s="14" t="inlineStr">
        <is>
          <t>Manual</t>
        </is>
      </c>
      <c r="F9" s="14" t="inlineStr">
        <is>
          <t>Navegador</t>
        </is>
      </c>
      <c r="G9" s="14" t="inlineStr">
        <is>
          <t>—</t>
        </is>
      </c>
      <c r="H9" s="14" t="inlineStr">
        <is>
          <t>—</t>
        </is>
      </c>
      <c r="I9" s="14" t="inlineStr">
        <is>
          <t>—</t>
        </is>
      </c>
      <c r="J9" s="14" t="inlineStr">
        <is>
          <t>Aprovado</t>
        </is>
      </c>
      <c r="K9" s="14" t="inlineStr">
        <is>
          <t>—</t>
        </is>
      </c>
      <c r="L9" s="14" t="inlineStr">
        <is>
          <t>Aprovado</t>
        </is>
      </c>
      <c r="M9" s="14" t="inlineStr">
        <is>
          <t>e2e-complementares.log; telas/complementar-docente-360.png; telas/complementar-docente-768.png</t>
        </is>
      </c>
      <c r="N9" s="14" t="inlineStr">
        <is>
          <t>formulário de docente em 360 px sem rolagem horizontal (largura 360) | formulário de docente em 768 px sem rolagem horizontal (largura 768)</t>
        </is>
      </c>
      <c r="O9" s="14" t="inlineStr">
        <is>
          <t>Manual: abrir a tela em 360 px (e 768 px) e conferir que não há rolagem horizontal. Parte de tela executada no navegador nesta rodada.</t>
        </is>
      </c>
    </row>
    <row r="10">
      <c r="A10" s="14" t="inlineStr">
        <is>
          <t>RBN01.02</t>
        </is>
      </c>
      <c r="B10" s="14" t="inlineStr">
        <is>
          <t>CT-01.02-01</t>
        </is>
      </c>
      <c r="C10" s="14" t="inlineStr">
        <is>
          <t>Funcional</t>
        </is>
      </c>
      <c r="D10" s="14" t="inlineStr">
        <is>
          <t>Adicionar "Computação Quântica"</t>
        </is>
      </c>
      <c r="E10" s="14" t="inlineStr">
        <is>
          <t>Parcial</t>
        </is>
      </c>
      <c r="F10" s="14" t="inlineStr">
        <is>
          <t>API (pytest) + Navegador</t>
        </is>
      </c>
      <c r="G10" s="14" t="inlineStr">
        <is>
          <t>test_perfil.py::test_ct_01_02_01_e_01_02_07_coordenador_cria_renomeia_e_exclui_area</t>
        </is>
      </c>
      <c r="H10" s="14" t="inlineStr">
        <is>
          <t>Aprovado</t>
        </is>
      </c>
      <c r="I10" s="14" t="inlineStr">
        <is>
          <t>Aprovado</t>
        </is>
      </c>
      <c r="J10" s="14" t="inlineStr">
        <is>
          <t>Aprovado</t>
        </is>
      </c>
      <c r="K10" s="14" t="inlineStr">
        <is>
          <t>—</t>
        </is>
      </c>
      <c r="L10" s="14" t="inlineStr">
        <is>
          <t>Aprovado</t>
        </is>
      </c>
      <c r="M10" s="14" t="inlineStr">
        <is>
          <t>junit-sqlite.xml; junit-postgresql.xml; e2e-complementares.log; telas/complementar-docente-768.png</t>
        </is>
      </c>
      <c r="N10" s="14" t="inlineStr">
        <is>
          <t>coordenação cria a área "Computação Quântica" pela tela | a área nova aparece e pode ser selecionada no cadastro de docente</t>
        </is>
      </c>
      <c r="O10" s="14" t="inlineStr">
        <is>
          <t>Via API; a seleção na tela é manual. Parte de tela executada no navegador nesta rodada.</t>
        </is>
      </c>
    </row>
    <row r="11">
      <c r="A11" s="14" t="inlineStr">
        <is>
          <t>RBN01.02</t>
        </is>
      </c>
      <c r="B11" s="14" t="inlineStr">
        <is>
          <t>CT-01.02-02</t>
        </is>
      </c>
      <c r="C11" s="14" t="inlineStr">
        <is>
          <t>Negativo</t>
        </is>
      </c>
      <c r="D11" s="14" t="inlineStr">
        <is>
          <t>Adicionar "IA" novamente</t>
        </is>
      </c>
      <c r="E11" s="14" t="inlineStr">
        <is>
          <t>Coberto</t>
        </is>
      </c>
      <c r="F11" s="14" t="inlineStr">
        <is>
          <t>API (pytest)</t>
        </is>
      </c>
      <c r="G11" s="14" t="inlineStr">
        <is>
          <t>test_perfil.py::test_ct_01_02_02_nome_repetido_ignora_maiusculas</t>
        </is>
      </c>
      <c r="H11" s="14" t="inlineStr">
        <is>
          <t>Aprovado</t>
        </is>
      </c>
      <c r="I11" s="14" t="inlineStr">
        <is>
          <t>Aprovado</t>
        </is>
      </c>
      <c r="J11" s="14" t="inlineStr">
        <is>
          <t>—</t>
        </is>
      </c>
      <c r="K11" s="14" t="inlineStr">
        <is>
          <t>—</t>
        </is>
      </c>
      <c r="L11" s="14" t="inlineStr">
        <is>
          <t>Aprovado</t>
        </is>
      </c>
      <c r="M11" s="14" t="inlineStr">
        <is>
          <t>junit-sqlite.xml; junit-postgresql.xml</t>
        </is>
      </c>
      <c r="N11" s="14" t="inlineStr">
        <is>
          <t>—</t>
        </is>
      </c>
      <c r="O11" s="14" t="inlineStr">
        <is>
          <t>—</t>
        </is>
      </c>
    </row>
    <row r="12">
      <c r="A12" s="14" t="inlineStr">
        <is>
          <t>RBN01.02</t>
        </is>
      </c>
      <c r="B12" s="14" t="inlineStr">
        <is>
          <t>CT-01.02-03</t>
        </is>
      </c>
      <c r="C12" s="14" t="inlineStr">
        <is>
          <t>Negativo</t>
        </is>
      </c>
      <c r="D12" s="14" t="inlineStr">
        <is>
          <t>Adicionar nome vazio</t>
        </is>
      </c>
      <c r="E12" s="14" t="inlineStr">
        <is>
          <t>Coberto</t>
        </is>
      </c>
      <c r="F12" s="14" t="inlineStr">
        <is>
          <t>API (pytest)</t>
        </is>
      </c>
      <c r="G12" s="14" t="inlineStr">
        <is>
          <t>test_cts_complementares.py::test_ct_01_02_03_area_com_nome_vazio_e_recusada</t>
        </is>
      </c>
      <c r="H12" s="14" t="inlineStr">
        <is>
          <t>Aprovado</t>
        </is>
      </c>
      <c r="I12" s="14" t="inlineStr">
        <is>
          <t>Aprovado</t>
        </is>
      </c>
      <c r="J12" s="14" t="inlineStr">
        <is>
          <t>—</t>
        </is>
      </c>
      <c r="K12" s="14" t="inlineStr">
        <is>
          <t>—</t>
        </is>
      </c>
      <c r="L12" s="14" t="inlineStr">
        <is>
          <t>Aprovado</t>
        </is>
      </c>
      <c r="M12" s="14" t="inlineStr">
        <is>
          <t>junit-sqlite.xml; junit-postgresql.xml</t>
        </is>
      </c>
      <c r="N12" s="14" t="inlineStr">
        <is>
          <t>—</t>
        </is>
      </c>
      <c r="O12" s="14" t="inlineStr">
        <is>
          <t>—</t>
        </is>
      </c>
    </row>
    <row r="13">
      <c r="A13" s="14" t="inlineStr">
        <is>
          <t>RBN01.02</t>
        </is>
      </c>
      <c r="B13" s="14" t="inlineStr">
        <is>
          <t>CT-01.02-04</t>
        </is>
      </c>
      <c r="C13" s="14" t="inlineStr">
        <is>
          <t>Funcional</t>
        </is>
      </c>
      <c r="D13" s="14" t="inlineStr">
        <is>
          <t>Renomear</t>
        </is>
      </c>
      <c r="E13" s="14" t="inlineStr">
        <is>
          <t>Coberto</t>
        </is>
      </c>
      <c r="F13" s="14" t="inlineStr">
        <is>
          <t>API (pytest)</t>
        </is>
      </c>
      <c r="G13" s="14" t="inlineStr">
        <is>
          <t>test_cts_complementares.py::test_ct_01_02_04_renomear_area_vale_para_os_docentes_vinculados</t>
        </is>
      </c>
      <c r="H13" s="14" t="inlineStr">
        <is>
          <t>Aprovado</t>
        </is>
      </c>
      <c r="I13" s="14" t="inlineStr">
        <is>
          <t>Aprovado</t>
        </is>
      </c>
      <c r="J13" s="14" t="inlineStr">
        <is>
          <t>—</t>
        </is>
      </c>
      <c r="K13" s="14" t="inlineStr">
        <is>
          <t>—</t>
        </is>
      </c>
      <c r="L13" s="14" t="inlineStr">
        <is>
          <t>Aprovado</t>
        </is>
      </c>
      <c r="M13" s="14" t="inlineStr">
        <is>
          <t>junit-sqlite.xml; junit-postgresql.xml</t>
        </is>
      </c>
      <c r="N13" s="14" t="inlineStr">
        <is>
          <t>—</t>
        </is>
      </c>
      <c r="O13" s="14" t="inlineStr">
        <is>
          <t>—</t>
        </is>
      </c>
    </row>
    <row r="14">
      <c r="A14" s="14" t="inlineStr">
        <is>
          <t>RBN01.02</t>
        </is>
      </c>
      <c r="B14" s="14" t="inlineStr">
        <is>
          <t>CT-01.02-05</t>
        </is>
      </c>
      <c r="C14" s="14" t="inlineStr">
        <is>
          <t>Funcional</t>
        </is>
      </c>
      <c r="D14" s="14" t="inlineStr">
        <is>
          <t>Excluir e confirmar/cancelar</t>
        </is>
      </c>
      <c r="E14" s="14" t="inlineStr">
        <is>
          <t>Coberto</t>
        </is>
      </c>
      <c r="F14" s="14" t="inlineStr">
        <is>
          <t>API (pytest)</t>
        </is>
      </c>
      <c r="G14" s="14" t="inlineStr">
        <is>
          <t>test_perfil.py::test_ct_01_02_05_excluir_area_em_uso_desvincula_docentes</t>
        </is>
      </c>
      <c r="H14" s="14" t="inlineStr">
        <is>
          <t>Aprovado</t>
        </is>
      </c>
      <c r="I14" s="14" t="inlineStr">
        <is>
          <t>Aprovado</t>
        </is>
      </c>
      <c r="J14" s="14" t="inlineStr">
        <is>
          <t>—</t>
        </is>
      </c>
      <c r="K14" s="14" t="inlineStr">
        <is>
          <t>—</t>
        </is>
      </c>
      <c r="L14" s="14" t="inlineStr">
        <is>
          <t>Aprovado</t>
        </is>
      </c>
      <c r="M14" s="14" t="inlineStr">
        <is>
          <t>junit-sqlite.xml; junit-postgresql.xml</t>
        </is>
      </c>
      <c r="N14" s="14" t="inlineStr">
        <is>
          <t>—</t>
        </is>
      </c>
      <c r="O14" s="14" t="inlineStr">
        <is>
          <t>—</t>
        </is>
      </c>
    </row>
    <row r="15">
      <c r="A15" s="14" t="inlineStr">
        <is>
          <t>RBN01.02</t>
        </is>
      </c>
      <c r="B15" s="14" t="inlineStr">
        <is>
          <t>CT-01.02-06</t>
        </is>
      </c>
      <c r="C15" s="14" t="inlineStr">
        <is>
          <t>Segurança</t>
        </is>
      </c>
      <c r="D15" s="14" t="inlineStr">
        <is>
          <t>Chamar endpoint de exclusão</t>
        </is>
      </c>
      <c r="E15" s="14" t="inlineStr">
        <is>
          <t>Coberto</t>
        </is>
      </c>
      <c r="F15" s="14" t="inlineStr">
        <is>
          <t>API (pytest)</t>
        </is>
      </c>
      <c r="G15" s="14" t="inlineStr">
        <is>
          <t>test_perfil.py::test_ct_01_02_06_so_coordenador_gerencia_areas</t>
        </is>
      </c>
      <c r="H15" s="14" t="inlineStr">
        <is>
          <t>Aprovado</t>
        </is>
      </c>
      <c r="I15" s="14" t="inlineStr">
        <is>
          <t>Aprovado</t>
        </is>
      </c>
      <c r="J15" s="14" t="inlineStr">
        <is>
          <t>—</t>
        </is>
      </c>
      <c r="K15" s="14" t="inlineStr">
        <is>
          <t>—</t>
        </is>
      </c>
      <c r="L15" s="14" t="inlineStr">
        <is>
          <t>Aprovado</t>
        </is>
      </c>
      <c r="M15" s="14" t="inlineStr">
        <is>
          <t>junit-sqlite.xml; junit-postgresql.xml</t>
        </is>
      </c>
      <c r="N15" s="14" t="inlineStr">
        <is>
          <t>—</t>
        </is>
      </c>
      <c r="O15" s="14" t="inlineStr">
        <is>
          <t>—</t>
        </is>
      </c>
    </row>
    <row r="16">
      <c r="A16" s="14" t="inlineStr">
        <is>
          <t>RBN01.02</t>
        </is>
      </c>
      <c r="B16" s="14" t="inlineStr">
        <is>
          <t>CT-01.02-07</t>
        </is>
      </c>
      <c r="C16" s="14" t="inlineStr">
        <is>
          <t>Auditoria</t>
        </is>
      </c>
      <c r="D16" s="14" t="inlineStr">
        <is>
          <t>Consultar log</t>
        </is>
      </c>
      <c r="E16" s="14" t="inlineStr">
        <is>
          <t>Coberto</t>
        </is>
      </c>
      <c r="F16" s="14" t="inlineStr">
        <is>
          <t>API (pytest)</t>
        </is>
      </c>
      <c r="G16" s="14" t="inlineStr">
        <is>
          <t>test_perfil.py::test_ct_01_02_01_e_01_02_07_coordenador_cria_renomeia_e_exclui_area</t>
        </is>
      </c>
      <c r="H16" s="14" t="inlineStr">
        <is>
          <t>Aprovado</t>
        </is>
      </c>
      <c r="I16" s="14" t="inlineStr">
        <is>
          <t>Aprovado</t>
        </is>
      </c>
      <c r="J16" s="14" t="inlineStr">
        <is>
          <t>—</t>
        </is>
      </c>
      <c r="K16" s="14" t="inlineStr">
        <is>
          <t>—</t>
        </is>
      </c>
      <c r="L16" s="14" t="inlineStr">
        <is>
          <t>Aprovado</t>
        </is>
      </c>
      <c r="M16" s="14" t="inlineStr">
        <is>
          <t>junit-sqlite.xml; junit-postgresql.xml</t>
        </is>
      </c>
      <c r="N16" s="14" t="inlineStr">
        <is>
          <t>—</t>
        </is>
      </c>
      <c r="O16" s="14" t="inlineStr">
        <is>
          <t>—</t>
        </is>
      </c>
    </row>
    <row r="17">
      <c r="A17" s="14" t="inlineStr">
        <is>
          <t>RBN01.03</t>
        </is>
      </c>
      <c r="B17" s="14" t="inlineStr">
        <is>
          <t>CT-01.03-01</t>
        </is>
      </c>
      <c r="C17" s="14" t="inlineStr">
        <is>
          <t>Funcional</t>
        </is>
      </c>
      <c r="D17" s="14" t="inlineStr">
        <is>
          <t>Cadastrar aluno completo</t>
        </is>
      </c>
      <c r="E17" s="14" t="inlineStr">
        <is>
          <t>Parcial</t>
        </is>
      </c>
      <c r="F17" s="14" t="inlineStr">
        <is>
          <t>API (pytest) + Navegador</t>
        </is>
      </c>
      <c r="G17" s="14" t="inlineStr">
        <is>
          <t>test_usuarios.py::test_ct_01_03_01_aluno_nasce_sem_senha_com_perfil_aluno</t>
        </is>
      </c>
      <c r="H17" s="14" t="inlineStr">
        <is>
          <t>Aprovado</t>
        </is>
      </c>
      <c r="I17" s="14" t="inlineStr">
        <is>
          <t>Aprovado</t>
        </is>
      </c>
      <c r="J17" s="14" t="inlineStr">
        <is>
          <t>Aprovado</t>
        </is>
      </c>
      <c r="K17" s="14" t="inlineStr">
        <is>
          <t>—</t>
        </is>
      </c>
      <c r="L17" s="14" t="inlineStr">
        <is>
          <t>Aprovado</t>
        </is>
      </c>
      <c r="M17" s="14" t="inlineStr">
        <is>
          <t>junit-sqlite.xml; junit-postgresql.xml; e2e-salvar_rascunho.log</t>
        </is>
      </c>
      <c r="N17" s="14" t="inlineStr">
        <is>
          <t>coordenação cadastra a aluna (RBN01.03)</t>
        </is>
      </c>
      <c r="O17" s="14" t="inlineStr">
        <is>
          <t>Cria e ativa; a inclusão na turma é outro passo (RBN08.02). Parte de tela executada no navegador nesta rodada.</t>
        </is>
      </c>
    </row>
    <row r="18">
      <c r="A18" s="14" t="inlineStr">
        <is>
          <t>RBN01.03</t>
        </is>
      </c>
      <c r="B18" s="14" t="inlineStr">
        <is>
          <t>CT-01.03-02</t>
        </is>
      </c>
      <c r="C18" s="14" t="inlineStr">
        <is>
          <t>Negativo</t>
        </is>
      </c>
      <c r="D18" s="14" t="inlineStr">
        <is>
          <t>Omitir matrícula</t>
        </is>
      </c>
      <c r="E18" s="14" t="inlineStr">
        <is>
          <t>Coberto</t>
        </is>
      </c>
      <c r="F18" s="14" t="inlineStr">
        <is>
          <t>API (pytest)</t>
        </is>
      </c>
      <c r="G18" s="14" t="inlineStr">
        <is>
          <t>test_cts_complementares.py::test_ct_01_03_02_aluno_sem_matricula_e_recusado</t>
        </is>
      </c>
      <c r="H18" s="14" t="inlineStr">
        <is>
          <t>Aprovado</t>
        </is>
      </c>
      <c r="I18" s="14" t="inlineStr">
        <is>
          <t>Aprovado</t>
        </is>
      </c>
      <c r="J18" s="14" t="inlineStr">
        <is>
          <t>—</t>
        </is>
      </c>
      <c r="K18" s="14" t="inlineStr">
        <is>
          <t>—</t>
        </is>
      </c>
      <c r="L18" s="14" t="inlineStr">
        <is>
          <t>Aprovado</t>
        </is>
      </c>
      <c r="M18" s="14" t="inlineStr">
        <is>
          <t>junit-sqlite.xml; junit-postgresql.xml</t>
        </is>
      </c>
      <c r="N18" s="14" t="inlineStr">
        <is>
          <t>—</t>
        </is>
      </c>
      <c r="O18" s="14" t="inlineStr">
        <is>
          <t>—</t>
        </is>
      </c>
    </row>
    <row r="19">
      <c r="A19" s="14" t="inlineStr">
        <is>
          <t>RBN01.03</t>
        </is>
      </c>
      <c r="B19" s="14" t="inlineStr">
        <is>
          <t>CT-01.03-03</t>
        </is>
      </c>
      <c r="C19" s="14" t="inlineStr">
        <is>
          <t>Negativo</t>
        </is>
      </c>
      <c r="D19" s="14" t="inlineStr">
        <is>
          <t>Repetir matrícula</t>
        </is>
      </c>
      <c r="E19" s="14" t="inlineStr">
        <is>
          <t>Coberto</t>
        </is>
      </c>
      <c r="F19" s="14" t="inlineStr">
        <is>
          <t>API (pytest)</t>
        </is>
      </c>
      <c r="G19" s="14" t="inlineStr">
        <is>
          <t>test_usuarios.py::test_ct_01_03_03_indica_o_campo_duplicado</t>
        </is>
      </c>
      <c r="H19" s="14" t="inlineStr">
        <is>
          <t>Aprovado</t>
        </is>
      </c>
      <c r="I19" s="14" t="inlineStr">
        <is>
          <t>Aprovado</t>
        </is>
      </c>
      <c r="J19" s="14" t="inlineStr">
        <is>
          <t>—</t>
        </is>
      </c>
      <c r="K19" s="14" t="inlineStr">
        <is>
          <t>—</t>
        </is>
      </c>
      <c r="L19" s="14" t="inlineStr">
        <is>
          <t>Aprovado</t>
        </is>
      </c>
      <c r="M19" s="14" t="inlineStr">
        <is>
          <t>junit-sqlite.xml; junit-postgresql.xml</t>
        </is>
      </c>
      <c r="N19" s="14" t="inlineStr">
        <is>
          <t>—</t>
        </is>
      </c>
      <c r="O19" s="14" t="inlineStr">
        <is>
          <t>—</t>
        </is>
      </c>
    </row>
    <row r="20">
      <c r="A20" s="14" t="inlineStr">
        <is>
          <t>RBN01.03</t>
        </is>
      </c>
      <c r="B20" s="14" t="inlineStr">
        <is>
          <t>CT-01.03-04</t>
        </is>
      </c>
      <c r="C20" s="14" t="inlineStr">
        <is>
          <t>Funcional</t>
        </is>
      </c>
      <c r="D20" s="14" t="inlineStr">
        <is>
          <t>Cadastrar aluno de SI</t>
        </is>
      </c>
      <c r="E20" s="14" t="inlineStr">
        <is>
          <t>Coberto</t>
        </is>
      </c>
      <c r="F20" s="14" t="inlineStr">
        <is>
          <t>API (pytest)</t>
        </is>
      </c>
      <c r="G20" s="14" t="inlineStr">
        <is>
          <t>test_tcc.py::test_ct_01_03_04_aluno_de_outro_curso_entra_e_mantem_o_curso</t>
        </is>
      </c>
      <c r="H20" s="14" t="inlineStr">
        <is>
          <t>Aprovado</t>
        </is>
      </c>
      <c r="I20" s="14" t="inlineStr">
        <is>
          <t>Aprovado</t>
        </is>
      </c>
      <c r="J20" s="14" t="inlineStr">
        <is>
          <t>—</t>
        </is>
      </c>
      <c r="K20" s="14" t="inlineStr">
        <is>
          <t>—</t>
        </is>
      </c>
      <c r="L20" s="14" t="inlineStr">
        <is>
          <t>Aprovado</t>
        </is>
      </c>
      <c r="M20" s="14" t="inlineStr">
        <is>
          <t>junit-sqlite.xml; junit-postgresql.xml</t>
        </is>
      </c>
      <c r="N20" s="14" t="inlineStr">
        <is>
          <t>—</t>
        </is>
      </c>
      <c r="O20" s="14" t="inlineStr">
        <is>
          <t>—</t>
        </is>
      </c>
    </row>
    <row r="21">
      <c r="A21" s="14" t="inlineStr">
        <is>
          <t>RBN01.03</t>
        </is>
      </c>
      <c r="B21" s="14" t="inlineStr">
        <is>
          <t>CT-01.03-05</t>
        </is>
      </c>
      <c r="C21" s="14" t="inlineStr">
        <is>
          <t>Segurança</t>
        </is>
      </c>
      <c r="D21" s="14" t="inlineStr">
        <is>
          <t>Chamar endpoint</t>
        </is>
      </c>
      <c r="E21" s="14" t="inlineStr">
        <is>
          <t>Coberto</t>
        </is>
      </c>
      <c r="F21" s="14" t="inlineStr">
        <is>
          <t>API (pytest)</t>
        </is>
      </c>
      <c r="G21" s="14" t="inlineStr">
        <is>
          <t>test_cts_complementares.py::test_ct_01_03_05_aluno_nao_cadastra_aluno</t>
        </is>
      </c>
      <c r="H21" s="14" t="inlineStr">
        <is>
          <t>Aprovado</t>
        </is>
      </c>
      <c r="I21" s="14" t="inlineStr">
        <is>
          <t>Aprovado</t>
        </is>
      </c>
      <c r="J21" s="14" t="inlineStr">
        <is>
          <t>—</t>
        </is>
      </c>
      <c r="K21" s="14" t="inlineStr">
        <is>
          <t>—</t>
        </is>
      </c>
      <c r="L21" s="14" t="inlineStr">
        <is>
          <t>Aprovado</t>
        </is>
      </c>
      <c r="M21" s="14" t="inlineStr">
        <is>
          <t>junit-sqlite.xml; junit-postgresql.xml</t>
        </is>
      </c>
      <c r="N21" s="14" t="inlineStr">
        <is>
          <t>—</t>
        </is>
      </c>
      <c r="O21" s="14" t="inlineStr">
        <is>
          <t>—</t>
        </is>
      </c>
    </row>
    <row r="22">
      <c r="A22" s="14" t="inlineStr">
        <is>
          <t>RBN01.03</t>
        </is>
      </c>
      <c r="B22" s="14" t="inlineStr">
        <is>
          <t>CT-01.03-06</t>
        </is>
      </c>
      <c r="C22" s="14" t="inlineStr">
        <is>
          <t>Auditoria</t>
        </is>
      </c>
      <c r="D22" s="14" t="inlineStr">
        <is>
          <t>Consultar log</t>
        </is>
      </c>
      <c r="E22" s="14" t="inlineStr">
        <is>
          <t>Coberto</t>
        </is>
      </c>
      <c r="F22" s="14" t="inlineStr">
        <is>
          <t>API (pytest)</t>
        </is>
      </c>
      <c r="G22" s="14" t="inlineStr">
        <is>
          <t>test_usuarios.py::test_ct_01_03_06_e_01_05_01_enfileira_ativacao_e_audita</t>
        </is>
      </c>
      <c r="H22" s="14" t="inlineStr">
        <is>
          <t>Aprovado</t>
        </is>
      </c>
      <c r="I22" s="14" t="inlineStr">
        <is>
          <t>Aprovado</t>
        </is>
      </c>
      <c r="J22" s="14" t="inlineStr">
        <is>
          <t>—</t>
        </is>
      </c>
      <c r="K22" s="14" t="inlineStr">
        <is>
          <t>—</t>
        </is>
      </c>
      <c r="L22" s="14" t="inlineStr">
        <is>
          <t>Aprovado</t>
        </is>
      </c>
      <c r="M22" s="14" t="inlineStr">
        <is>
          <t>junit-sqlite.xml; junit-postgresql.xml</t>
        </is>
      </c>
      <c r="N22" s="14" t="inlineStr">
        <is>
          <t>—</t>
        </is>
      </c>
      <c r="O22" s="14" t="inlineStr">
        <is>
          <t>—</t>
        </is>
      </c>
    </row>
    <row r="23">
      <c r="A23" s="14" t="inlineStr">
        <is>
          <t>RBN01.04</t>
        </is>
      </c>
      <c r="B23" s="14" t="inlineStr">
        <is>
          <t>CT-01.04-01</t>
        </is>
      </c>
      <c r="C23" s="14" t="inlineStr">
        <is>
          <t>Funcional</t>
        </is>
      </c>
      <c r="D23" s="14" t="inlineStr">
        <is>
          <t>Definir "Siga@2026"</t>
        </is>
      </c>
      <c r="E23" s="14" t="inlineStr">
        <is>
          <t>Coberto</t>
        </is>
      </c>
      <c r="F23" s="14" t="inlineStr">
        <is>
          <t>API (pytest) + Navegador</t>
        </is>
      </c>
      <c r="G23" s="14" t="inlineStr">
        <is>
          <t>test_acesso.py::test_ct_01_04_01_e_01_04_06_senha_gravada_com_bcrypt_e_nunca_devolvida</t>
        </is>
      </c>
      <c r="H23" s="14" t="inlineStr">
        <is>
          <t>Aprovado</t>
        </is>
      </c>
      <c r="I23" s="14" t="inlineStr">
        <is>
          <t>Aprovado</t>
        </is>
      </c>
      <c r="J23" s="14" t="inlineStr">
        <is>
          <t>Aprovado</t>
        </is>
      </c>
      <c r="K23" s="14" t="inlineStr">
        <is>
          <t>—</t>
        </is>
      </c>
      <c r="L23" s="14" t="inlineStr">
        <is>
          <t>Aprovado</t>
        </is>
      </c>
      <c r="M23" s="14" t="inlineStr">
        <is>
          <t>junit-sqlite.xml; junit-postgresql.xml; e2e-salvar_rascunho.log</t>
        </is>
      </c>
      <c r="N23" s="14" t="inlineStr">
        <is>
          <t>aluna ativa a conta e volta para o login</t>
        </is>
      </c>
      <c r="O23" s="14" t="inlineStr">
        <is>
          <t>—</t>
        </is>
      </c>
    </row>
    <row r="24">
      <c r="A24" s="14" t="inlineStr">
        <is>
          <t>RBN01.04</t>
        </is>
      </c>
      <c r="B24" s="14" t="inlineStr">
        <is>
          <t>CT-01.04-02</t>
        </is>
      </c>
      <c r="C24" s="14" t="inlineStr">
        <is>
          <t>Negativo</t>
        </is>
      </c>
      <c r="D24" s="14" t="inlineStr">
        <is>
          <t>Definir "siga2026" (sem maiúscula/especial)</t>
        </is>
      </c>
      <c r="E24" s="14" t="inlineStr">
        <is>
          <t>Coberto</t>
        </is>
      </c>
      <c r="F24" s="14" t="inlineStr">
        <is>
          <t>API (pytest)</t>
        </is>
      </c>
      <c r="G24" s="14" t="inlineStr">
        <is>
          <t>test_acesso.py::test_ct_01_04_02_a_01_04_04_criterios_da_senha</t>
        </is>
      </c>
      <c r="H24" s="14" t="inlineStr">
        <is>
          <t>Aprovado</t>
        </is>
      </c>
      <c r="I24" s="14" t="inlineStr">
        <is>
          <t>Aprovado</t>
        </is>
      </c>
      <c r="J24" s="14" t="inlineStr">
        <is>
          <t>—</t>
        </is>
      </c>
      <c r="K24" s="14" t="inlineStr">
        <is>
          <t>—</t>
        </is>
      </c>
      <c r="L24" s="14" t="inlineStr">
        <is>
          <t>Aprovado</t>
        </is>
      </c>
      <c r="M24" s="14" t="inlineStr">
        <is>
          <t>junit-sqlite.xml; junit-postgresql.xml</t>
        </is>
      </c>
      <c r="N24" s="14" t="inlineStr">
        <is>
          <t>—</t>
        </is>
      </c>
      <c r="O24" s="14" t="inlineStr">
        <is>
          <t>—</t>
        </is>
      </c>
    </row>
    <row r="25">
      <c r="A25" s="14" t="inlineStr">
        <is>
          <t>RBN01.04</t>
        </is>
      </c>
      <c r="B25" s="14" t="inlineStr">
        <is>
          <t>CT-01.04-03</t>
        </is>
      </c>
      <c r="C25" s="14" t="inlineStr">
        <is>
          <t>Limite</t>
        </is>
      </c>
      <c r="D25" s="14" t="inlineStr">
        <is>
          <t>Definir "Aa1!aaa" (7 caracteres)</t>
        </is>
      </c>
      <c r="E25" s="14" t="inlineStr">
        <is>
          <t>Coberto</t>
        </is>
      </c>
      <c r="F25" s="14" t="inlineStr">
        <is>
          <t>API (pytest)</t>
        </is>
      </c>
      <c r="G25" s="14" t="inlineStr">
        <is>
          <t>test_acesso.py::test_ct_01_04_02_a_01_04_04_criterios_da_senha</t>
        </is>
      </c>
      <c r="H25" s="14" t="inlineStr">
        <is>
          <t>Aprovado</t>
        </is>
      </c>
      <c r="I25" s="14" t="inlineStr">
        <is>
          <t>Aprovado</t>
        </is>
      </c>
      <c r="J25" s="14" t="inlineStr">
        <is>
          <t>—</t>
        </is>
      </c>
      <c r="K25" s="14" t="inlineStr">
        <is>
          <t>—</t>
        </is>
      </c>
      <c r="L25" s="14" t="inlineStr">
        <is>
          <t>Aprovado</t>
        </is>
      </c>
      <c r="M25" s="14" t="inlineStr">
        <is>
          <t>junit-sqlite.xml; junit-postgresql.xml</t>
        </is>
      </c>
      <c r="N25" s="14" t="inlineStr">
        <is>
          <t>—</t>
        </is>
      </c>
      <c r="O25" s="14" t="inlineStr">
        <is>
          <t>—</t>
        </is>
      </c>
    </row>
    <row r="26">
      <c r="A26" s="14" t="inlineStr">
        <is>
          <t>RBN01.04</t>
        </is>
      </c>
      <c r="B26" s="14" t="inlineStr">
        <is>
          <t>CT-01.04-04</t>
        </is>
      </c>
      <c r="C26" s="14" t="inlineStr">
        <is>
          <t>Limite</t>
        </is>
      </c>
      <c r="D26" s="14" t="inlineStr">
        <is>
          <t>Definir "Aa1!aaaa" (8 caracteres)</t>
        </is>
      </c>
      <c r="E26" s="14" t="inlineStr">
        <is>
          <t>Coberto</t>
        </is>
      </c>
      <c r="F26" s="14" t="inlineStr">
        <is>
          <t>API (pytest)</t>
        </is>
      </c>
      <c r="G26" s="14" t="inlineStr">
        <is>
          <t>test_acesso.py::test_ct_01_04_02_a_01_04_04_criterios_da_senha</t>
        </is>
      </c>
      <c r="H26" s="14" t="inlineStr">
        <is>
          <t>Aprovado</t>
        </is>
      </c>
      <c r="I26" s="14" t="inlineStr">
        <is>
          <t>Aprovado</t>
        </is>
      </c>
      <c r="J26" s="14" t="inlineStr">
        <is>
          <t>—</t>
        </is>
      </c>
      <c r="K26" s="14" t="inlineStr">
        <is>
          <t>—</t>
        </is>
      </c>
      <c r="L26" s="14" t="inlineStr">
        <is>
          <t>Aprovado</t>
        </is>
      </c>
      <c r="M26" s="14" t="inlineStr">
        <is>
          <t>junit-sqlite.xml; junit-postgresql.xml</t>
        </is>
      </c>
      <c r="N26" s="14" t="inlineStr">
        <is>
          <t>—</t>
        </is>
      </c>
      <c r="O26" s="14" t="inlineStr">
        <is>
          <t>—</t>
        </is>
      </c>
    </row>
    <row r="27">
      <c r="A27" s="14" t="inlineStr">
        <is>
          <t>RBN01.04</t>
        </is>
      </c>
      <c r="B27" s="14" t="inlineStr">
        <is>
          <t>CT-01.04-05</t>
        </is>
      </c>
      <c r="C27" s="14" t="inlineStr">
        <is>
          <t>Segurança</t>
        </is>
      </c>
      <c r="D27" s="14" t="inlineStr">
        <is>
          <t>POST direto com senha fraca</t>
        </is>
      </c>
      <c r="E27" s="14" t="inlineStr">
        <is>
          <t>Coberto</t>
        </is>
      </c>
      <c r="F27" s="14" t="inlineStr">
        <is>
          <t>API (pytest)</t>
        </is>
      </c>
      <c r="G27" s="14" t="inlineStr">
        <is>
          <t>test_acesso.py::test_ct_01_04_05_ativacao_recusa_senha_fraca_e_lista_criterios</t>
        </is>
      </c>
      <c r="H27" s="14" t="inlineStr">
        <is>
          <t>Aprovado</t>
        </is>
      </c>
      <c r="I27" s="14" t="inlineStr">
        <is>
          <t>Aprovado</t>
        </is>
      </c>
      <c r="J27" s="14" t="inlineStr">
        <is>
          <t>—</t>
        </is>
      </c>
      <c r="K27" s="14" t="inlineStr">
        <is>
          <t>—</t>
        </is>
      </c>
      <c r="L27" s="14" t="inlineStr">
        <is>
          <t>Aprovado</t>
        </is>
      </c>
      <c r="M27" s="14" t="inlineStr">
        <is>
          <t>junit-sqlite.xml; junit-postgresql.xml</t>
        </is>
      </c>
      <c r="N27" s="14" t="inlineStr">
        <is>
          <t>—</t>
        </is>
      </c>
      <c r="O27" s="14" t="inlineStr">
        <is>
          <t>—</t>
        </is>
      </c>
    </row>
    <row r="28">
      <c r="A28" s="14" t="inlineStr">
        <is>
          <t>RBN01.04</t>
        </is>
      </c>
      <c r="B28" s="14" t="inlineStr">
        <is>
          <t>CT-01.04-06</t>
        </is>
      </c>
      <c r="C28" s="14" t="inlineStr">
        <is>
          <t>Segurança</t>
        </is>
      </c>
      <c r="D28" s="14" t="inlineStr">
        <is>
          <t>Inspecionar coluna de senha e logs</t>
        </is>
      </c>
      <c r="E28" s="14" t="inlineStr">
        <is>
          <t>Coberto</t>
        </is>
      </c>
      <c r="F28" s="14" t="inlineStr">
        <is>
          <t>API (pytest)</t>
        </is>
      </c>
      <c r="G28" s="14" t="inlineStr">
        <is>
          <t>test_acesso.py::test_ct_01_04_01_e_01_04_06_senha_gravada_com_bcrypt_e_nunca_devolvida</t>
        </is>
      </c>
      <c r="H28" s="14" t="inlineStr">
        <is>
          <t>Aprovado</t>
        </is>
      </c>
      <c r="I28" s="14" t="inlineStr">
        <is>
          <t>Aprovado</t>
        </is>
      </c>
      <c r="J28" s="14" t="inlineStr">
        <is>
          <t>—</t>
        </is>
      </c>
      <c r="K28" s="14" t="inlineStr">
        <is>
          <t>—</t>
        </is>
      </c>
      <c r="L28" s="14" t="inlineStr">
        <is>
          <t>Aprovado</t>
        </is>
      </c>
      <c r="M28" s="14" t="inlineStr">
        <is>
          <t>junit-sqlite.xml; junit-postgresql.xml</t>
        </is>
      </c>
      <c r="N28" s="14" t="inlineStr">
        <is>
          <t>—</t>
        </is>
      </c>
      <c r="O28" s="14" t="inlineStr">
        <is>
          <t>—</t>
        </is>
      </c>
    </row>
    <row r="29">
      <c r="A29" s="14" t="inlineStr">
        <is>
          <t>RBN01.05</t>
        </is>
      </c>
      <c r="B29" s="14" t="inlineStr">
        <is>
          <t>CT-01.05-01</t>
        </is>
      </c>
      <c r="C29" s="14" t="inlineStr">
        <is>
          <t>Integração</t>
        </is>
      </c>
      <c r="D29" s="14" t="inlineStr">
        <is>
          <t>Cadastrar docente</t>
        </is>
      </c>
      <c r="E29" s="14" t="inlineStr">
        <is>
          <t>Coberto</t>
        </is>
      </c>
      <c r="F29" s="14" t="inlineStr">
        <is>
          <t>API (pytest)</t>
        </is>
      </c>
      <c r="G29" s="14" t="inlineStr">
        <is>
          <t>test_usuarios.py::test_ct_01_03_06_e_01_05_01_enfileira_ativacao_e_audita</t>
        </is>
      </c>
      <c r="H29" s="14" t="inlineStr">
        <is>
          <t>Aprovado</t>
        </is>
      </c>
      <c r="I29" s="14" t="inlineStr">
        <is>
          <t>Aprovado</t>
        </is>
      </c>
      <c r="J29" s="14" t="inlineStr">
        <is>
          <t>—</t>
        </is>
      </c>
      <c r="K29" s="14" t="inlineStr">
        <is>
          <t>—</t>
        </is>
      </c>
      <c r="L29" s="14" t="inlineStr">
        <is>
          <t>Aprovado</t>
        </is>
      </c>
      <c r="M29" s="14" t="inlineStr">
        <is>
          <t>junit-sqlite.xml; junit-postgresql.xml</t>
        </is>
      </c>
      <c r="N29" s="14" t="inlineStr">
        <is>
          <t>—</t>
        </is>
      </c>
      <c r="O29" s="14" t="inlineStr">
        <is>
          <t>—</t>
        </is>
      </c>
    </row>
    <row r="30">
      <c r="A30" s="14" t="inlineStr">
        <is>
          <t>RBN01.05</t>
        </is>
      </c>
      <c r="B30" s="14" t="inlineStr">
        <is>
          <t>CT-01.05-02</t>
        </is>
      </c>
      <c r="C30" s="14" t="inlineStr">
        <is>
          <t>Funcional</t>
        </is>
      </c>
      <c r="D30" s="14" t="inlineStr">
        <is>
          <t>Definir senha válida</t>
        </is>
      </c>
      <c r="E30" s="14" t="inlineStr">
        <is>
          <t>Coberto</t>
        </is>
      </c>
      <c r="F30" s="14" t="inlineStr">
        <is>
          <t>API (pytest) + Navegador</t>
        </is>
      </c>
      <c r="G30" s="14" t="inlineStr">
        <is>
          <t>test_acesso.py::test_ct_01_05_02_e_01_05_04_link_ativa_a_conta_e_vale_uma_vez</t>
        </is>
      </c>
      <c r="H30" s="14" t="inlineStr">
        <is>
          <t>Aprovado</t>
        </is>
      </c>
      <c r="I30" s="14" t="inlineStr">
        <is>
          <t>Aprovado</t>
        </is>
      </c>
      <c r="J30" s="14" t="inlineStr">
        <is>
          <t>Aprovado</t>
        </is>
      </c>
      <c r="K30" s="14" t="inlineStr">
        <is>
          <t>—</t>
        </is>
      </c>
      <c r="L30" s="14" t="inlineStr">
        <is>
          <t>Aprovado</t>
        </is>
      </c>
      <c r="M30" s="14" t="inlineStr">
        <is>
          <t>junit-sqlite.xml; junit-postgresql.xml; e2e-salvar_rascunho.log</t>
        </is>
      </c>
      <c r="N30" s="14" t="inlineStr">
        <is>
          <t>aluna ativa a conta e volta para o login</t>
        </is>
      </c>
      <c r="O30" s="14" t="inlineStr">
        <is>
          <t>—</t>
        </is>
      </c>
    </row>
    <row r="31">
      <c r="A31" s="14" t="inlineStr">
        <is>
          <t>RBN01.05</t>
        </is>
      </c>
      <c r="B31" s="14" t="inlineStr">
        <is>
          <t>CT-01.05-03</t>
        </is>
      </c>
      <c r="C31" s="14" t="inlineStr">
        <is>
          <t>Limite</t>
        </is>
      </c>
      <c r="D31" s="14" t="inlineStr">
        <is>
          <t>Acessar link</t>
        </is>
      </c>
      <c r="E31" s="14" t="inlineStr">
        <is>
          <t>Parcial</t>
        </is>
      </c>
      <c r="F31" s="14" t="inlineStr">
        <is>
          <t>API (pytest)</t>
        </is>
      </c>
      <c r="G31" s="14" t="inlineStr">
        <is>
          <t>test_acesso.py::test_ct_01_05_03_link_expirado</t>
        </is>
      </c>
      <c r="H31" s="14" t="inlineStr">
        <is>
          <t>Aprovado</t>
        </is>
      </c>
      <c r="I31" s="14" t="inlineStr">
        <is>
          <t>Aprovado</t>
        </is>
      </c>
      <c r="J31" s="14" t="inlineStr">
        <is>
          <t>—</t>
        </is>
      </c>
      <c r="K31" s="14" t="inlineStr">
        <is>
          <t>—</t>
        </is>
      </c>
      <c r="L31" s="14" t="inlineStr">
        <is>
          <t>Aprovado</t>
        </is>
      </c>
      <c r="M31" s="14" t="inlineStr">
        <is>
          <t>junit-sqlite.xml; junit-postgresql.xml</t>
        </is>
      </c>
      <c r="N31" s="14" t="inlineStr">
        <is>
          <t>—</t>
        </is>
      </c>
      <c r="O31" s="14" t="inlineStr">
        <is>
          <t>Tempo simulado: a expiração é antecipada no banco.</t>
        </is>
      </c>
    </row>
    <row r="32">
      <c r="A32" s="14" t="inlineStr">
        <is>
          <t>RBN01.05</t>
        </is>
      </c>
      <c r="B32" s="14" t="inlineStr">
        <is>
          <t>CT-01.05-04</t>
        </is>
      </c>
      <c r="C32" s="14" t="inlineStr">
        <is>
          <t>Negativo</t>
        </is>
      </c>
      <c r="D32" s="14" t="inlineStr">
        <is>
          <t>Acessar novamente</t>
        </is>
      </c>
      <c r="E32" s="14" t="inlineStr">
        <is>
          <t>Coberto</t>
        </is>
      </c>
      <c r="F32" s="14" t="inlineStr">
        <is>
          <t>API (pytest)</t>
        </is>
      </c>
      <c r="G32" s="14" t="inlineStr">
        <is>
          <t>test_acesso.py::test_ct_01_05_02_e_01_05_04_link_ativa_a_conta_e_vale_uma_vez</t>
        </is>
      </c>
      <c r="H32" s="14" t="inlineStr">
        <is>
          <t>Aprovado</t>
        </is>
      </c>
      <c r="I32" s="14" t="inlineStr">
        <is>
          <t>Aprovado</t>
        </is>
      </c>
      <c r="J32" s="14" t="inlineStr">
        <is>
          <t>—</t>
        </is>
      </c>
      <c r="K32" s="14" t="inlineStr">
        <is>
          <t>—</t>
        </is>
      </c>
      <c r="L32" s="14" t="inlineStr">
        <is>
          <t>Aprovado</t>
        </is>
      </c>
      <c r="M32" s="14" t="inlineStr">
        <is>
          <t>junit-sqlite.xml; junit-postgresql.xml</t>
        </is>
      </c>
      <c r="N32" s="14" t="inlineStr">
        <is>
          <t>—</t>
        </is>
      </c>
      <c r="O32" s="14" t="inlineStr">
        <is>
          <t>—</t>
        </is>
      </c>
    </row>
    <row r="33">
      <c r="A33" s="14" t="inlineStr">
        <is>
          <t>RBN01.05</t>
        </is>
      </c>
      <c r="B33" s="14" t="inlineStr">
        <is>
          <t>CT-01.05-05</t>
        </is>
      </c>
      <c r="C33" s="14" t="inlineStr">
        <is>
          <t>Segurança</t>
        </is>
      </c>
      <c r="D33" s="14" t="inlineStr">
        <is>
          <t>Tentar login</t>
        </is>
      </c>
      <c r="E33" s="14" t="inlineStr">
        <is>
          <t>Coberto</t>
        </is>
      </c>
      <c r="F33" s="14" t="inlineStr">
        <is>
          <t>API (pytest)</t>
        </is>
      </c>
      <c r="G33" s="14" t="inlineStr">
        <is>
          <t>test_acesso.py::test_ct_01_05_05_conta_nao_ativada_recebe_a_mesma_mensagem</t>
        </is>
      </c>
      <c r="H33" s="14" t="inlineStr">
        <is>
          <t>Aprovado</t>
        </is>
      </c>
      <c r="I33" s="14" t="inlineStr">
        <is>
          <t>Aprovado</t>
        </is>
      </c>
      <c r="J33" s="14" t="inlineStr">
        <is>
          <t>—</t>
        </is>
      </c>
      <c r="K33" s="14" t="inlineStr">
        <is>
          <t>—</t>
        </is>
      </c>
      <c r="L33" s="14" t="inlineStr">
        <is>
          <t>Aprovado</t>
        </is>
      </c>
      <c r="M33" s="14" t="inlineStr">
        <is>
          <t>junit-sqlite.xml; junit-postgresql.xml</t>
        </is>
      </c>
      <c r="N33" s="14" t="inlineStr">
        <is>
          <t>—</t>
        </is>
      </c>
      <c r="O33" s="14" t="inlineStr">
        <is>
          <t>—</t>
        </is>
      </c>
    </row>
    <row r="34">
      <c r="A34" s="14" t="inlineStr">
        <is>
          <t>RBN01.05</t>
        </is>
      </c>
      <c r="B34" s="14" t="inlineStr">
        <is>
          <t>CT-01.05-06</t>
        </is>
      </c>
      <c r="C34" s="14" t="inlineStr">
        <is>
          <t>Resiliência</t>
        </is>
      </c>
      <c r="D34" s="14" t="inlineStr">
        <is>
          <t>Cadastrar e reenviar</t>
        </is>
      </c>
      <c r="E34" s="14" t="inlineStr">
        <is>
          <t>Coberto</t>
        </is>
      </c>
      <c r="F34" s="14" t="inlineStr">
        <is>
          <t>API (pytest)</t>
        </is>
      </c>
      <c r="G34" s="14" t="inlineStr">
        <is>
          <t>test_acesso.py::test_ct_01_05_06_falha_de_email_nao_desfaz_cadastro_e_permite_reenvio</t>
        </is>
      </c>
      <c r="H34" s="14" t="inlineStr">
        <is>
          <t>Aprovado</t>
        </is>
      </c>
      <c r="I34" s="14" t="inlineStr">
        <is>
          <t>Aprovado</t>
        </is>
      </c>
      <c r="J34" s="14" t="inlineStr">
        <is>
          <t>—</t>
        </is>
      </c>
      <c r="K34" s="14" t="inlineStr">
        <is>
          <t>—</t>
        </is>
      </c>
      <c r="L34" s="14" t="inlineStr">
        <is>
          <t>Aprovado</t>
        </is>
      </c>
      <c r="M34" s="14" t="inlineStr">
        <is>
          <t>junit-sqlite.xml; junit-postgresql.xml</t>
        </is>
      </c>
      <c r="N34" s="14" t="inlineStr">
        <is>
          <t>—</t>
        </is>
      </c>
      <c r="O34" s="14" t="inlineStr">
        <is>
          <t>—</t>
        </is>
      </c>
    </row>
    <row r="35">
      <c r="A35" s="14" t="inlineStr">
        <is>
          <t>RBN01.06</t>
        </is>
      </c>
      <c r="B35" s="14" t="inlineStr">
        <is>
          <t>CT-01.06-01</t>
        </is>
      </c>
      <c r="C35" s="14" t="inlineStr">
        <is>
          <t>Funcional</t>
        </is>
      </c>
      <c r="D35" s="14" t="inlineStr">
        <is>
          <t>Login correto</t>
        </is>
      </c>
      <c r="E35" s="14" t="inlineStr">
        <is>
          <t>Coberto</t>
        </is>
      </c>
      <c r="F35" s="14" t="inlineStr">
        <is>
          <t>API (pytest)</t>
        </is>
      </c>
      <c r="G35" s="14" t="inlineStr">
        <is>
          <t>test_acesso.py::test_ct_01_06_01_login_devolve_usuario_e_cookie_httponly</t>
        </is>
      </c>
      <c r="H35" s="14" t="inlineStr">
        <is>
          <t>Aprovado</t>
        </is>
      </c>
      <c r="I35" s="14" t="inlineStr">
        <is>
          <t>Aprovado</t>
        </is>
      </c>
      <c r="J35" s="14" t="inlineStr">
        <is>
          <t>—</t>
        </is>
      </c>
      <c r="K35" s="14" t="inlineStr">
        <is>
          <t>—</t>
        </is>
      </c>
      <c r="L35" s="14" t="inlineStr">
        <is>
          <t>Aprovado</t>
        </is>
      </c>
      <c r="M35" s="14" t="inlineStr">
        <is>
          <t>junit-sqlite.xml; junit-postgresql.xml</t>
        </is>
      </c>
      <c r="N35" s="14" t="inlineStr">
        <is>
          <t>—</t>
        </is>
      </c>
      <c r="O35" s="14" t="inlineStr">
        <is>
          <t>—</t>
        </is>
      </c>
    </row>
    <row r="36">
      <c r="A36" s="14" t="inlineStr">
        <is>
          <t>RBN01.06</t>
        </is>
      </c>
      <c r="B36" s="14" t="inlineStr">
        <is>
          <t>CT-01.06-02</t>
        </is>
      </c>
      <c r="C36" s="14" t="inlineStr">
        <is>
          <t>Negativo</t>
        </is>
      </c>
      <c r="D36" s="14" t="inlineStr">
        <is>
          <t>Senha errada</t>
        </is>
      </c>
      <c r="E36" s="14" t="inlineStr">
        <is>
          <t>Coberto</t>
        </is>
      </c>
      <c r="F36" s="14" t="inlineStr">
        <is>
          <t>API (pytest)</t>
        </is>
      </c>
      <c r="G36" s="14" t="inlineStr">
        <is>
          <t>test_acesso.py::test_ct_01_06_02_e_01_06_03_mesma_mensagem_para_email_ou_senha_errados</t>
        </is>
      </c>
      <c r="H36" s="14" t="inlineStr">
        <is>
          <t>Aprovado</t>
        </is>
      </c>
      <c r="I36" s="14" t="inlineStr">
        <is>
          <t>Aprovado</t>
        </is>
      </c>
      <c r="J36" s="14" t="inlineStr">
        <is>
          <t>—</t>
        </is>
      </c>
      <c r="K36" s="14" t="inlineStr">
        <is>
          <t>—</t>
        </is>
      </c>
      <c r="L36" s="14" t="inlineStr">
        <is>
          <t>Aprovado</t>
        </is>
      </c>
      <c r="M36" s="14" t="inlineStr">
        <is>
          <t>junit-sqlite.xml; junit-postgresql.xml</t>
        </is>
      </c>
      <c r="N36" s="14" t="inlineStr">
        <is>
          <t>—</t>
        </is>
      </c>
      <c r="O36" s="14" t="inlineStr">
        <is>
          <t>—</t>
        </is>
      </c>
    </row>
    <row r="37">
      <c r="A37" s="14" t="inlineStr">
        <is>
          <t>RBN01.06</t>
        </is>
      </c>
      <c r="B37" s="14" t="inlineStr">
        <is>
          <t>CT-01.06-03</t>
        </is>
      </c>
      <c r="C37" s="14" t="inlineStr">
        <is>
          <t>Negativo</t>
        </is>
      </c>
      <c r="D37" s="14" t="inlineStr">
        <is>
          <t>E-mail inexistente</t>
        </is>
      </c>
      <c r="E37" s="14" t="inlineStr">
        <is>
          <t>Coberto</t>
        </is>
      </c>
      <c r="F37" s="14" t="inlineStr">
        <is>
          <t>API (pytest)</t>
        </is>
      </c>
      <c r="G37" s="14" t="inlineStr">
        <is>
          <t>test_acesso.py::test_ct_01_06_02_e_01_06_03_mesma_mensagem_para_email_ou_senha_errados</t>
        </is>
      </c>
      <c r="H37" s="14" t="inlineStr">
        <is>
          <t>Aprovado</t>
        </is>
      </c>
      <c r="I37" s="14" t="inlineStr">
        <is>
          <t>Aprovado</t>
        </is>
      </c>
      <c r="J37" s="14" t="inlineStr">
        <is>
          <t>—</t>
        </is>
      </c>
      <c r="K37" s="14" t="inlineStr">
        <is>
          <t>—</t>
        </is>
      </c>
      <c r="L37" s="14" t="inlineStr">
        <is>
          <t>Aprovado</t>
        </is>
      </c>
      <c r="M37" s="14" t="inlineStr">
        <is>
          <t>junit-sqlite.xml; junit-postgresql.xml</t>
        </is>
      </c>
      <c r="N37" s="14" t="inlineStr">
        <is>
          <t>—</t>
        </is>
      </c>
      <c r="O37" s="14" t="inlineStr">
        <is>
          <t>—</t>
        </is>
      </c>
    </row>
    <row r="38">
      <c r="A38" s="14" t="inlineStr">
        <is>
          <t>RBN01.06</t>
        </is>
      </c>
      <c r="B38" s="14" t="inlineStr">
        <is>
          <t>CT-01.06-04</t>
        </is>
      </c>
      <c r="C38" s="14" t="inlineStr">
        <is>
          <t>Limite</t>
        </is>
      </c>
      <c r="D38" s="14" t="inlineStr">
        <is>
          <t>3 falhas + 1 tentativa correta</t>
        </is>
      </c>
      <c r="E38" s="14" t="inlineStr">
        <is>
          <t>Coberto</t>
        </is>
      </c>
      <c r="F38" s="14" t="inlineStr">
        <is>
          <t>API (pytest)</t>
        </is>
      </c>
      <c r="G38" s="14" t="inlineStr">
        <is>
          <t>test_acesso.py::test_ct_01_06_04_e_01_06_05_bloqueio_apos_3_falhas_mesmo_com_senha_correta</t>
        </is>
      </c>
      <c r="H38" s="14" t="inlineStr">
        <is>
          <t>Aprovado</t>
        </is>
      </c>
      <c r="I38" s="14" t="inlineStr">
        <is>
          <t>Aprovado</t>
        </is>
      </c>
      <c r="J38" s="14" t="inlineStr">
        <is>
          <t>—</t>
        </is>
      </c>
      <c r="K38" s="14" t="inlineStr">
        <is>
          <t>—</t>
        </is>
      </c>
      <c r="L38" s="14" t="inlineStr">
        <is>
          <t>Aprovado</t>
        </is>
      </c>
      <c r="M38" s="14" t="inlineStr">
        <is>
          <t>junit-sqlite.xml; junit-postgresql.xml</t>
        </is>
      </c>
      <c r="N38" s="14" t="inlineStr">
        <is>
          <t>—</t>
        </is>
      </c>
      <c r="O38" s="14" t="inlineStr">
        <is>
          <t>—</t>
        </is>
      </c>
    </row>
    <row r="39">
      <c r="A39" s="14" t="inlineStr">
        <is>
          <t>RBN01.06</t>
        </is>
      </c>
      <c r="B39" s="14" t="inlineStr">
        <is>
          <t>CT-01.06-05</t>
        </is>
      </c>
      <c r="C39" s="14" t="inlineStr">
        <is>
          <t>Limite</t>
        </is>
      </c>
      <c r="D39" s="14" t="inlineStr">
        <is>
          <t>Aguardar 15 min e tentar</t>
        </is>
      </c>
      <c r="E39" s="14" t="inlineStr">
        <is>
          <t>Parcial</t>
        </is>
      </c>
      <c r="F39" s="14" t="inlineStr">
        <is>
          <t>API (pytest)</t>
        </is>
      </c>
      <c r="G39" s="14" t="inlineStr">
        <is>
          <t>test_acesso.py::test_ct_01_06_04_e_01_06_05_bloqueio_apos_3_falhas_mesmo_com_senha_correta</t>
        </is>
      </c>
      <c r="H39" s="14" t="inlineStr">
        <is>
          <t>Aprovado</t>
        </is>
      </c>
      <c r="I39" s="14" t="inlineStr">
        <is>
          <t>Aprovado</t>
        </is>
      </c>
      <c r="J39" s="14" t="inlineStr">
        <is>
          <t>—</t>
        </is>
      </c>
      <c r="K39" s="14" t="inlineStr">
        <is>
          <t>—</t>
        </is>
      </c>
      <c r="L39" s="14" t="inlineStr">
        <is>
          <t>Aprovado</t>
        </is>
      </c>
      <c r="M39" s="14" t="inlineStr">
        <is>
          <t>junit-sqlite.xml; junit-postgresql.xml</t>
        </is>
      </c>
      <c r="N39" s="14" t="inlineStr">
        <is>
          <t>—</t>
        </is>
      </c>
      <c r="O39" s="14" t="inlineStr">
        <is>
          <t>Tempo simulado: o bloqueio é antecipado no banco.</t>
        </is>
      </c>
    </row>
    <row r="40">
      <c r="A40" s="14" t="inlineStr">
        <is>
          <t>RBN01.06</t>
        </is>
      </c>
      <c r="B40" s="14" t="inlineStr">
        <is>
          <t>CT-01.06-06</t>
        </is>
      </c>
      <c r="C40" s="14" t="inlineStr">
        <is>
          <t>Negativo</t>
        </is>
      </c>
      <c r="D40" s="14" t="inlineStr">
        <is>
          <t>Enviar com campos vazios</t>
        </is>
      </c>
      <c r="E40" s="14" t="inlineStr">
        <is>
          <t>Parcial</t>
        </is>
      </c>
      <c r="F40" s="14" t="inlineStr">
        <is>
          <t>API (pytest) + Navegador</t>
        </is>
      </c>
      <c r="G40" s="14" t="inlineStr">
        <is>
          <t>test_cts_complementares.py::test_ct_01_06_06_login_com_campos_vazios_e_recusado</t>
        </is>
      </c>
      <c r="H40" s="14" t="inlineStr">
        <is>
          <t>Aprovado</t>
        </is>
      </c>
      <c r="I40" s="14" t="inlineStr">
        <is>
          <t>Aprovado</t>
        </is>
      </c>
      <c r="J40" s="14" t="inlineStr">
        <is>
          <t>Aprovado</t>
        </is>
      </c>
      <c r="K40" s="14" t="inlineStr">
        <is>
          <t>—</t>
        </is>
      </c>
      <c r="L40" s="14" t="inlineStr">
        <is>
          <t>Aprovado</t>
        </is>
      </c>
      <c r="M40" s="14" t="inlineStr">
        <is>
          <t>junit-sqlite.xml; junit-postgresql.xml; e2e-complementares.log; telas/complementar-login-360.png</t>
        </is>
      </c>
      <c r="N40" s="14" t="inlineStr">
        <is>
          <t>login com campos vazios não é enviado e a tela marca o campo obrigatório</t>
        </is>
      </c>
      <c r="O40" s="14" t="inlineStr">
        <is>
          <t>A API recusa; o destaque do campo na tela é manual. Parte de tela executada no navegador nesta rodada.</t>
        </is>
      </c>
    </row>
    <row r="41">
      <c r="A41" s="14" t="inlineStr">
        <is>
          <t>RBN01.06</t>
        </is>
      </c>
      <c r="B41" s="14" t="inlineStr">
        <is>
          <t>CT-01.06-07</t>
        </is>
      </c>
      <c r="C41" s="14" t="inlineStr">
        <is>
          <t>Funcional</t>
        </is>
      </c>
      <c r="D41" s="14" t="inlineStr">
        <is>
          <t>Ficar 60 min inativo; abrir página restrita</t>
        </is>
      </c>
      <c r="E41" s="14" t="inlineStr">
        <is>
          <t>Parcial</t>
        </is>
      </c>
      <c r="F41" s="14" t="inlineStr">
        <is>
          <t>API (pytest)</t>
        </is>
      </c>
      <c r="G41" s="14" t="inlineStr">
        <is>
          <t>test_acesso.py::test_ct_01_06_07_sessao_expira_por_inatividade_e_renova_com_uso</t>
        </is>
      </c>
      <c r="H41" s="14" t="inlineStr">
        <is>
          <t>Aprovado</t>
        </is>
      </c>
      <c r="I41" s="14" t="inlineStr">
        <is>
          <t>Aprovado</t>
        </is>
      </c>
      <c r="J41" s="14" t="inlineStr">
        <is>
          <t>—</t>
        </is>
      </c>
      <c r="K41" s="14" t="inlineStr">
        <is>
          <t>—</t>
        </is>
      </c>
      <c r="L41" s="14" t="inlineStr">
        <is>
          <t>Aprovado</t>
        </is>
      </c>
      <c r="M41" s="14" t="inlineStr">
        <is>
          <t>junit-sqlite.xml; junit-postgresql.xml</t>
        </is>
      </c>
      <c r="N41" s="14" t="inlineStr">
        <is>
          <t>—</t>
        </is>
      </c>
      <c r="O41" s="14" t="inlineStr">
        <is>
          <t>Tempo simulado: a expiração da sessão é antecipada no banco.</t>
        </is>
      </c>
    </row>
    <row r="42">
      <c r="A42" s="14" t="inlineStr">
        <is>
          <t>RBN01.06</t>
        </is>
      </c>
      <c r="B42" s="14" t="inlineStr">
        <is>
          <t>CT-01.06-08</t>
        </is>
      </c>
      <c r="C42" s="14" t="inlineStr">
        <is>
          <t>Segurança</t>
        </is>
      </c>
      <c r="D42" s="14" t="inlineStr">
        <is>
          <t>Tentar login</t>
        </is>
      </c>
      <c r="E42" s="14" t="inlineStr">
        <is>
          <t>Coberto</t>
        </is>
      </c>
      <c r="F42" s="14" t="inlineStr">
        <is>
          <t>API (pytest)</t>
        </is>
      </c>
      <c r="G42" s="14" t="inlineStr">
        <is>
          <t>test_usuarios.py::test_ct_01_08_03_e_01_08_04_inativado_nao_entra_e_reativado_volta</t>
        </is>
      </c>
      <c r="H42" s="14" t="inlineStr">
        <is>
          <t>Aprovado</t>
        </is>
      </c>
      <c r="I42" s="14" t="inlineStr">
        <is>
          <t>Aprovado</t>
        </is>
      </c>
      <c r="J42" s="14" t="inlineStr">
        <is>
          <t>—</t>
        </is>
      </c>
      <c r="K42" s="14" t="inlineStr">
        <is>
          <t>—</t>
        </is>
      </c>
      <c r="L42" s="14" t="inlineStr">
        <is>
          <t>Aprovado</t>
        </is>
      </c>
      <c r="M42" s="14" t="inlineStr">
        <is>
          <t>junit-sqlite.xml; junit-postgresql.xml</t>
        </is>
      </c>
      <c r="N42" s="14" t="inlineStr">
        <is>
          <t>—</t>
        </is>
      </c>
      <c r="O42" s="14" t="inlineStr">
        <is>
          <t>—</t>
        </is>
      </c>
    </row>
    <row r="43">
      <c r="A43" s="14" t="inlineStr">
        <is>
          <t>RBN01.06</t>
        </is>
      </c>
      <c r="B43" s="14" t="inlineStr">
        <is>
          <t>CT-01.06-09</t>
        </is>
      </c>
      <c r="C43" s="14" t="inlineStr">
        <is>
          <t>Não funcional</t>
        </is>
      </c>
      <c r="D43" s="14" t="inlineStr">
        <is>
          <t>Usar a tela de login</t>
        </is>
      </c>
      <c r="E43" s="14" t="inlineStr">
        <is>
          <t>Manual</t>
        </is>
      </c>
      <c r="F43" s="14" t="inlineStr">
        <is>
          <t>Navegador</t>
        </is>
      </c>
      <c r="G43" s="14" t="inlineStr">
        <is>
          <t>—</t>
        </is>
      </c>
      <c r="H43" s="14" t="inlineStr">
        <is>
          <t>—</t>
        </is>
      </c>
      <c r="I43" s="14" t="inlineStr">
        <is>
          <t>—</t>
        </is>
      </c>
      <c r="J43" s="14" t="inlineStr">
        <is>
          <t>Aprovado</t>
        </is>
      </c>
      <c r="K43" s="14" t="inlineStr">
        <is>
          <t>—</t>
        </is>
      </c>
      <c r="L43" s="14" t="inlineStr">
        <is>
          <t>Aprovado</t>
        </is>
      </c>
      <c r="M43" s="14" t="inlineStr">
        <is>
          <t>e2e-complementares.log; telas/complementar-login-360.png; telas/complementar-login-768.png</t>
        </is>
      </c>
      <c r="N43" s="14" t="inlineStr">
        <is>
          <t>login em 360 px sem rolagem horizontal (largura 360) | login em 768 px sem rolagem horizontal (largura 768)</t>
        </is>
      </c>
      <c r="O43" s="14" t="inlineStr">
        <is>
          <t>Manual: abrir a tela em 360 px (e 768 px) e conferir que não há rolagem horizontal. Parte de tela executada no navegador nesta rodada.</t>
        </is>
      </c>
    </row>
    <row r="44">
      <c r="A44" s="14" t="inlineStr">
        <is>
          <t>RBN01.07</t>
        </is>
      </c>
      <c r="B44" s="14" t="inlineStr">
        <is>
          <t>CT-01.07-01</t>
        </is>
      </c>
      <c r="C44" s="14" t="inlineStr">
        <is>
          <t>Integração</t>
        </is>
      </c>
      <c r="D44" s="14" t="inlineStr">
        <is>
          <t>Solicitar recuperação</t>
        </is>
      </c>
      <c r="E44" s="14" t="inlineStr">
        <is>
          <t>Coberto</t>
        </is>
      </c>
      <c r="F44" s="14" t="inlineStr">
        <is>
          <t>API (pytest)</t>
        </is>
      </c>
      <c r="G44" s="14" t="inlineStr">
        <is>
          <t>test_acesso.py::test_ct_01_07_01_e_01_07_02_resposta_igual_e_email_so_para_cadastrado</t>
        </is>
      </c>
      <c r="H44" s="14" t="inlineStr">
        <is>
          <t>Aprovado</t>
        </is>
      </c>
      <c r="I44" s="14" t="inlineStr">
        <is>
          <t>Aprovado</t>
        </is>
      </c>
      <c r="J44" s="14" t="inlineStr">
        <is>
          <t>—</t>
        </is>
      </c>
      <c r="K44" s="14" t="inlineStr">
        <is>
          <t>—</t>
        </is>
      </c>
      <c r="L44" s="14" t="inlineStr">
        <is>
          <t>Aprovado</t>
        </is>
      </c>
      <c r="M44" s="14" t="inlineStr">
        <is>
          <t>junit-sqlite.xml; junit-postgresql.xml</t>
        </is>
      </c>
      <c r="N44" s="14" t="inlineStr">
        <is>
          <t>—</t>
        </is>
      </c>
      <c r="O44" s="14" t="inlineStr">
        <is>
          <t>—</t>
        </is>
      </c>
    </row>
    <row r="45">
      <c r="A45" s="14" t="inlineStr">
        <is>
          <t>RBN01.07</t>
        </is>
      </c>
      <c r="B45" s="14" t="inlineStr">
        <is>
          <t>CT-01.07-02</t>
        </is>
      </c>
      <c r="C45" s="14" t="inlineStr">
        <is>
          <t>Segurança</t>
        </is>
      </c>
      <c r="D45" s="14" t="inlineStr">
        <is>
          <t>Solicitar com e-mail inexistente</t>
        </is>
      </c>
      <c r="E45" s="14" t="inlineStr">
        <is>
          <t>Coberto</t>
        </is>
      </c>
      <c r="F45" s="14" t="inlineStr">
        <is>
          <t>API (pytest)</t>
        </is>
      </c>
      <c r="G45" s="14" t="inlineStr">
        <is>
          <t>test_acesso.py::test_ct_01_07_01_e_01_07_02_resposta_igual_e_email_so_para_cadastrado</t>
        </is>
      </c>
      <c r="H45" s="14" t="inlineStr">
        <is>
          <t>Aprovado</t>
        </is>
      </c>
      <c r="I45" s="14" t="inlineStr">
        <is>
          <t>Aprovado</t>
        </is>
      </c>
      <c r="J45" s="14" t="inlineStr">
        <is>
          <t>—</t>
        </is>
      </c>
      <c r="K45" s="14" t="inlineStr">
        <is>
          <t>—</t>
        </is>
      </c>
      <c r="L45" s="14" t="inlineStr">
        <is>
          <t>Aprovado</t>
        </is>
      </c>
      <c r="M45" s="14" t="inlineStr">
        <is>
          <t>junit-sqlite.xml; junit-postgresql.xml</t>
        </is>
      </c>
      <c r="N45" s="14" t="inlineStr">
        <is>
          <t>—</t>
        </is>
      </c>
      <c r="O45" s="14" t="inlineStr">
        <is>
          <t>—</t>
        </is>
      </c>
    </row>
    <row r="46">
      <c r="A46" s="14" t="inlineStr">
        <is>
          <t>RBN01.07</t>
        </is>
      </c>
      <c r="B46" s="14" t="inlineStr">
        <is>
          <t>CT-01.07-03</t>
        </is>
      </c>
      <c r="C46" s="14" t="inlineStr">
        <is>
          <t>Funcional</t>
        </is>
      </c>
      <c r="D46" s="14" t="inlineStr">
        <is>
          <t>Definir "Nova@2026"</t>
        </is>
      </c>
      <c r="E46" s="14" t="inlineStr">
        <is>
          <t>Coberto</t>
        </is>
      </c>
      <c r="F46" s="14" t="inlineStr">
        <is>
          <t>API (pytest)</t>
        </is>
      </c>
      <c r="G46" s="14" t="inlineStr">
        <is>
          <t>test_acesso.py::test_ct_01_07_03_e_01_07_04_e_01_07_06_troca_a_senha_desbloqueia_e_link_nao_se_repete</t>
        </is>
      </c>
      <c r="H46" s="14" t="inlineStr">
        <is>
          <t>Aprovado</t>
        </is>
      </c>
      <c r="I46" s="14" t="inlineStr">
        <is>
          <t>Aprovado</t>
        </is>
      </c>
      <c r="J46" s="14" t="inlineStr">
        <is>
          <t>—</t>
        </is>
      </c>
      <c r="K46" s="14" t="inlineStr">
        <is>
          <t>—</t>
        </is>
      </c>
      <c r="L46" s="14" t="inlineStr">
        <is>
          <t>Aprovado</t>
        </is>
      </c>
      <c r="M46" s="14" t="inlineStr">
        <is>
          <t>junit-sqlite.xml; junit-postgresql.xml</t>
        </is>
      </c>
      <c r="N46" s="14" t="inlineStr">
        <is>
          <t>—</t>
        </is>
      </c>
      <c r="O46" s="14" t="inlineStr">
        <is>
          <t>—</t>
        </is>
      </c>
    </row>
    <row r="47">
      <c r="A47" s="14" t="inlineStr">
        <is>
          <t>RBN01.07</t>
        </is>
      </c>
      <c r="B47" s="14" t="inlineStr">
        <is>
          <t>CT-01.07-04</t>
        </is>
      </c>
      <c r="C47" s="14" t="inlineStr">
        <is>
          <t>Negativo</t>
        </is>
      </c>
      <c r="D47" s="14" t="inlineStr">
        <is>
          <t>Reabrir link</t>
        </is>
      </c>
      <c r="E47" s="14" t="inlineStr">
        <is>
          <t>Coberto</t>
        </is>
      </c>
      <c r="F47" s="14" t="inlineStr">
        <is>
          <t>API (pytest)</t>
        </is>
      </c>
      <c r="G47" s="14" t="inlineStr">
        <is>
          <t>test_acesso.py::test_ct_01_07_03_e_01_07_04_e_01_07_06_troca_a_senha_desbloqueia_e_link_nao_se_repete</t>
        </is>
      </c>
      <c r="H47" s="14" t="inlineStr">
        <is>
          <t>Aprovado</t>
        </is>
      </c>
      <c r="I47" s="14" t="inlineStr">
        <is>
          <t>Aprovado</t>
        </is>
      </c>
      <c r="J47" s="14" t="inlineStr">
        <is>
          <t>—</t>
        </is>
      </c>
      <c r="K47" s="14" t="inlineStr">
        <is>
          <t>—</t>
        </is>
      </c>
      <c r="L47" s="14" t="inlineStr">
        <is>
          <t>Aprovado</t>
        </is>
      </c>
      <c r="M47" s="14" t="inlineStr">
        <is>
          <t>junit-sqlite.xml; junit-postgresql.xml</t>
        </is>
      </c>
      <c r="N47" s="14" t="inlineStr">
        <is>
          <t>—</t>
        </is>
      </c>
      <c r="O47" s="14" t="inlineStr">
        <is>
          <t>—</t>
        </is>
      </c>
    </row>
    <row r="48">
      <c r="A48" s="14" t="inlineStr">
        <is>
          <t>RBN01.07</t>
        </is>
      </c>
      <c r="B48" s="14" t="inlineStr">
        <is>
          <t>CT-01.07-05</t>
        </is>
      </c>
      <c r="C48" s="14" t="inlineStr">
        <is>
          <t>Limite</t>
        </is>
      </c>
      <c r="D48" s="14" t="inlineStr">
        <is>
          <t>Acessar</t>
        </is>
      </c>
      <c r="E48" s="14" t="inlineStr">
        <is>
          <t>Parcial</t>
        </is>
      </c>
      <c r="F48" s="14" t="inlineStr">
        <is>
          <t>API (pytest)</t>
        </is>
      </c>
      <c r="G48" s="14" t="inlineStr">
        <is>
          <t>test_acesso.py::test_ct_01_07_05_link_de_recuperacao_vencido_e_recusado</t>
        </is>
      </c>
      <c r="H48" s="14" t="inlineStr">
        <is>
          <t>Aprovado</t>
        </is>
      </c>
      <c r="I48" s="14" t="inlineStr">
        <is>
          <t>Aprovado</t>
        </is>
      </c>
      <c r="J48" s="14" t="inlineStr">
        <is>
          <t>—</t>
        </is>
      </c>
      <c r="K48" s="14" t="inlineStr">
        <is>
          <t>—</t>
        </is>
      </c>
      <c r="L48" s="14" t="inlineStr">
        <is>
          <t>Aprovado</t>
        </is>
      </c>
      <c r="M48" s="14" t="inlineStr">
        <is>
          <t>junit-sqlite.xml; junit-postgresql.xml</t>
        </is>
      </c>
      <c r="N48" s="14" t="inlineStr">
        <is>
          <t>—</t>
        </is>
      </c>
      <c r="O48" s="14" t="inlineStr">
        <is>
          <t>Tempo simulado: a expiração é antecipada no banco.</t>
        </is>
      </c>
    </row>
    <row r="49">
      <c r="A49" s="14" t="inlineStr">
        <is>
          <t>RBN01.07</t>
        </is>
      </c>
      <c r="B49" s="14" t="inlineStr">
        <is>
          <t>CT-01.07-06</t>
        </is>
      </c>
      <c r="C49" s="14" t="inlineStr">
        <is>
          <t>Negativo</t>
        </is>
      </c>
      <c r="D49" s="14" t="inlineStr">
        <is>
          <t>Definir "abc"</t>
        </is>
      </c>
      <c r="E49" s="14" t="inlineStr">
        <is>
          <t>Coberto</t>
        </is>
      </c>
      <c r="F49" s="14" t="inlineStr">
        <is>
          <t>API (pytest)</t>
        </is>
      </c>
      <c r="G49" s="14" t="inlineStr">
        <is>
          <t>test_acesso.py::test_ct_01_07_03_e_01_07_04_e_01_07_06_troca_a_senha_desbloqueia_e_link_nao_se_repete</t>
        </is>
      </c>
      <c r="H49" s="14" t="inlineStr">
        <is>
          <t>Aprovado</t>
        </is>
      </c>
      <c r="I49" s="14" t="inlineStr">
        <is>
          <t>Aprovado</t>
        </is>
      </c>
      <c r="J49" s="14" t="inlineStr">
        <is>
          <t>—</t>
        </is>
      </c>
      <c r="K49" s="14" t="inlineStr">
        <is>
          <t>—</t>
        </is>
      </c>
      <c r="L49" s="14" t="inlineStr">
        <is>
          <t>Aprovado</t>
        </is>
      </c>
      <c r="M49" s="14" t="inlineStr">
        <is>
          <t>junit-sqlite.xml; junit-postgresql.xml</t>
        </is>
      </c>
      <c r="N49" s="14" t="inlineStr">
        <is>
          <t>—</t>
        </is>
      </c>
      <c r="O49" s="14" t="inlineStr">
        <is>
          <t>—</t>
        </is>
      </c>
    </row>
    <row r="50">
      <c r="A50" s="14" t="inlineStr">
        <is>
          <t>RBN01.08</t>
        </is>
      </c>
      <c r="B50" s="14" t="inlineStr">
        <is>
          <t>CT-01.08-01</t>
        </is>
      </c>
      <c r="C50" s="14" t="inlineStr">
        <is>
          <t>Funcional</t>
        </is>
      </c>
      <c r="D50" s="14" t="inlineStr">
        <is>
          <t>Alterar telefone e vínculo</t>
        </is>
      </c>
      <c r="E50" s="14" t="inlineStr">
        <is>
          <t>Coberto</t>
        </is>
      </c>
      <c r="F50" s="14" t="inlineStr">
        <is>
          <t>API (pytest)</t>
        </is>
      </c>
      <c r="G50" s="14" t="inlineStr">
        <is>
          <t>test_usuarios.py::test_ct_01_08_01_e_01_08_06_edicao_auditada_com_valor_anterior_e_novo</t>
        </is>
      </c>
      <c r="H50" s="14" t="inlineStr">
        <is>
          <t>Aprovado</t>
        </is>
      </c>
      <c r="I50" s="14" t="inlineStr">
        <is>
          <t>Aprovado</t>
        </is>
      </c>
      <c r="J50" s="14" t="inlineStr">
        <is>
          <t>—</t>
        </is>
      </c>
      <c r="K50" s="14" t="inlineStr">
        <is>
          <t>—</t>
        </is>
      </c>
      <c r="L50" s="14" t="inlineStr">
        <is>
          <t>Aprovado</t>
        </is>
      </c>
      <c r="M50" s="14" t="inlineStr">
        <is>
          <t>junit-sqlite.xml; junit-postgresql.xml</t>
        </is>
      </c>
      <c r="N50" s="14" t="inlineStr">
        <is>
          <t>—</t>
        </is>
      </c>
      <c r="O50" s="14" t="inlineStr">
        <is>
          <t>—</t>
        </is>
      </c>
    </row>
    <row r="51">
      <c r="A51" s="14" t="inlineStr">
        <is>
          <t>RBN01.08</t>
        </is>
      </c>
      <c r="B51" s="14" t="inlineStr">
        <is>
          <t>CT-01.08-02</t>
        </is>
      </c>
      <c r="C51" s="14" t="inlineStr">
        <is>
          <t>Negativo</t>
        </is>
      </c>
      <c r="D51" s="14" t="inlineStr">
        <is>
          <t>Alterar e-mail para o do outro</t>
        </is>
      </c>
      <c r="E51" s="14" t="inlineStr">
        <is>
          <t>Coberto</t>
        </is>
      </c>
      <c r="F51" s="14" t="inlineStr">
        <is>
          <t>API (pytest)</t>
        </is>
      </c>
      <c r="G51" s="14" t="inlineStr">
        <is>
          <t>test_usuarios.py::test_ct_01_08_02_email_ou_matricula_de_outra_pessoa</t>
        </is>
      </c>
      <c r="H51" s="14" t="inlineStr">
        <is>
          <t>Aprovado</t>
        </is>
      </c>
      <c r="I51" s="14" t="inlineStr">
        <is>
          <t>Aprovado</t>
        </is>
      </c>
      <c r="J51" s="14" t="inlineStr">
        <is>
          <t>—</t>
        </is>
      </c>
      <c r="K51" s="14" t="inlineStr">
        <is>
          <t>—</t>
        </is>
      </c>
      <c r="L51" s="14" t="inlineStr">
        <is>
          <t>Aprovado</t>
        </is>
      </c>
      <c r="M51" s="14" t="inlineStr">
        <is>
          <t>junit-sqlite.xml; junit-postgresql.xml</t>
        </is>
      </c>
      <c r="N51" s="14" t="inlineStr">
        <is>
          <t>—</t>
        </is>
      </c>
      <c r="O51" s="14" t="inlineStr">
        <is>
          <t>—</t>
        </is>
      </c>
    </row>
    <row r="52">
      <c r="A52" s="14" t="inlineStr">
        <is>
          <t>RBN01.08</t>
        </is>
      </c>
      <c r="B52" s="14" t="inlineStr">
        <is>
          <t>CT-01.08-03</t>
        </is>
      </c>
      <c r="C52" s="14" t="inlineStr">
        <is>
          <t>Funcional</t>
        </is>
      </c>
      <c r="D52" s="14" t="inlineStr">
        <is>
          <t>Inativar</t>
        </is>
      </c>
      <c r="E52" s="14" t="inlineStr">
        <is>
          <t>Coberto</t>
        </is>
      </c>
      <c r="F52" s="14" t="inlineStr">
        <is>
          <t>API (pytest)</t>
        </is>
      </c>
      <c r="G52" s="14" t="inlineStr">
        <is>
          <t>test_usuarios.py::test_ct_01_08_03_e_01_08_04_inativado_nao_entra_e_reativado_volta</t>
        </is>
      </c>
      <c r="H52" s="14" t="inlineStr">
        <is>
          <t>Aprovado</t>
        </is>
      </c>
      <c r="I52" s="14" t="inlineStr">
        <is>
          <t>Aprovado</t>
        </is>
      </c>
      <c r="J52" s="14" t="inlineStr">
        <is>
          <t>—</t>
        </is>
      </c>
      <c r="K52" s="14" t="inlineStr">
        <is>
          <t>—</t>
        </is>
      </c>
      <c r="L52" s="14" t="inlineStr">
        <is>
          <t>Aprovado</t>
        </is>
      </c>
      <c r="M52" s="14" t="inlineStr">
        <is>
          <t>junit-sqlite.xml; junit-postgresql.xml</t>
        </is>
      </c>
      <c r="N52" s="14" t="inlineStr">
        <is>
          <t>—</t>
        </is>
      </c>
      <c r="O52" s="14" t="inlineStr">
        <is>
          <t>—</t>
        </is>
      </c>
    </row>
    <row r="53">
      <c r="A53" s="14" t="inlineStr">
        <is>
          <t>RBN01.08</t>
        </is>
      </c>
      <c r="B53" s="14" t="inlineStr">
        <is>
          <t>CT-01.08-04</t>
        </is>
      </c>
      <c r="C53" s="14" t="inlineStr">
        <is>
          <t>Funcional</t>
        </is>
      </c>
      <c r="D53" s="14" t="inlineStr">
        <is>
          <t>Reativar</t>
        </is>
      </c>
      <c r="E53" s="14" t="inlineStr">
        <is>
          <t>Coberto</t>
        </is>
      </c>
      <c r="F53" s="14" t="inlineStr">
        <is>
          <t>API (pytest)</t>
        </is>
      </c>
      <c r="G53" s="14" t="inlineStr">
        <is>
          <t>test_usuarios.py::test_ct_01_08_03_e_01_08_04_inativado_nao_entra_e_reativado_volta</t>
        </is>
      </c>
      <c r="H53" s="14" t="inlineStr">
        <is>
          <t>Aprovado</t>
        </is>
      </c>
      <c r="I53" s="14" t="inlineStr">
        <is>
          <t>Aprovado</t>
        </is>
      </c>
      <c r="J53" s="14" t="inlineStr">
        <is>
          <t>—</t>
        </is>
      </c>
      <c r="K53" s="14" t="inlineStr">
        <is>
          <t>—</t>
        </is>
      </c>
      <c r="L53" s="14" t="inlineStr">
        <is>
          <t>Aprovado</t>
        </is>
      </c>
      <c r="M53" s="14" t="inlineStr">
        <is>
          <t>junit-sqlite.xml; junit-postgresql.xml</t>
        </is>
      </c>
      <c r="N53" s="14" t="inlineStr">
        <is>
          <t>—</t>
        </is>
      </c>
      <c r="O53" s="14" t="inlineStr">
        <is>
          <t>—</t>
        </is>
      </c>
    </row>
    <row r="54">
      <c r="A54" s="14" t="inlineStr">
        <is>
          <t>RBN01.08</t>
        </is>
      </c>
      <c r="B54" s="14" t="inlineStr">
        <is>
          <t>CT-01.08-05</t>
        </is>
      </c>
      <c r="C54" s="14" t="inlineStr">
        <is>
          <t>Segurança</t>
        </is>
      </c>
      <c r="D54" s="14" t="inlineStr">
        <is>
          <t>Editar outro usuário</t>
        </is>
      </c>
      <c r="E54" s="14" t="inlineStr">
        <is>
          <t>Coberto</t>
        </is>
      </c>
      <c r="F54" s="14" t="inlineStr">
        <is>
          <t>API (pytest)</t>
        </is>
      </c>
      <c r="G54" s="14" t="inlineStr">
        <is>
          <t>test_cts_complementares.py::test_ct_01_08_05_aluno_nao_edita_outro_usuario</t>
        </is>
      </c>
      <c r="H54" s="14" t="inlineStr">
        <is>
          <t>Aprovado</t>
        </is>
      </c>
      <c r="I54" s="14" t="inlineStr">
        <is>
          <t>Aprovado</t>
        </is>
      </c>
      <c r="J54" s="14" t="inlineStr">
        <is>
          <t>—</t>
        </is>
      </c>
      <c r="K54" s="14" t="inlineStr">
        <is>
          <t>—</t>
        </is>
      </c>
      <c r="L54" s="14" t="inlineStr">
        <is>
          <t>Aprovado</t>
        </is>
      </c>
      <c r="M54" s="14" t="inlineStr">
        <is>
          <t>junit-sqlite.xml; junit-postgresql.xml</t>
        </is>
      </c>
      <c r="N54" s="14" t="inlineStr">
        <is>
          <t>—</t>
        </is>
      </c>
      <c r="O54" s="14" t="inlineStr">
        <is>
          <t>—</t>
        </is>
      </c>
    </row>
    <row r="55">
      <c r="A55" s="14" t="inlineStr">
        <is>
          <t>RBN01.08</t>
        </is>
      </c>
      <c r="B55" s="14" t="inlineStr">
        <is>
          <t>CT-01.08-06</t>
        </is>
      </c>
      <c r="C55" s="14" t="inlineStr">
        <is>
          <t>Auditoria</t>
        </is>
      </c>
      <c r="D55" s="14" t="inlineStr">
        <is>
          <t>Consultar log</t>
        </is>
      </c>
      <c r="E55" s="14" t="inlineStr">
        <is>
          <t>Coberto</t>
        </is>
      </c>
      <c r="F55" s="14" t="inlineStr">
        <is>
          <t>API (pytest)</t>
        </is>
      </c>
      <c r="G55" s="14" t="inlineStr">
        <is>
          <t>test_usuarios.py::test_ct_01_08_01_e_01_08_06_edicao_auditada_com_valor_anterior_e_novo</t>
        </is>
      </c>
      <c r="H55" s="14" t="inlineStr">
        <is>
          <t>Aprovado</t>
        </is>
      </c>
      <c r="I55" s="14" t="inlineStr">
        <is>
          <t>Aprovado</t>
        </is>
      </c>
      <c r="J55" s="14" t="inlineStr">
        <is>
          <t>—</t>
        </is>
      </c>
      <c r="K55" s="14" t="inlineStr">
        <is>
          <t>—</t>
        </is>
      </c>
      <c r="L55" s="14" t="inlineStr">
        <is>
          <t>Aprovado</t>
        </is>
      </c>
      <c r="M55" s="14" t="inlineStr">
        <is>
          <t>junit-sqlite.xml; junit-postgresql.xml</t>
        </is>
      </c>
      <c r="N55" s="14" t="inlineStr">
        <is>
          <t>—</t>
        </is>
      </c>
      <c r="O55" s="14" t="inlineStr">
        <is>
          <t>—</t>
        </is>
      </c>
    </row>
    <row r="56">
      <c r="A56" s="14" t="inlineStr">
        <is>
          <t>RBN01.09</t>
        </is>
      </c>
      <c r="B56" s="14" t="inlineStr">
        <is>
          <t>CT-01.09-01</t>
        </is>
      </c>
      <c r="C56" s="14" t="inlineStr">
        <is>
          <t>Funcional</t>
        </is>
      </c>
      <c r="D56" s="14" t="inlineStr">
        <is>
          <t>Alterar telefone e foto</t>
        </is>
      </c>
      <c r="E56" s="14" t="inlineStr">
        <is>
          <t>Coberto</t>
        </is>
      </c>
      <c r="F56" s="14" t="inlineStr">
        <is>
          <t>API (pytest)</t>
        </is>
      </c>
      <c r="G56" s="14" t="inlineStr">
        <is>
          <t>test_perfil.py::test_ct_01_09_01_e_01_09_02_aluno_edita_telefone_mas_nao_o_curso
test_perfil.py::test_ct_01_09_01_foto_aceita_jpg_png_webp_e_pode_ser_removida</t>
        </is>
      </c>
      <c r="H56" s="14" t="inlineStr">
        <is>
          <t>Aprovado</t>
        </is>
      </c>
      <c r="I56" s="14" t="inlineStr">
        <is>
          <t>Aprovado</t>
        </is>
      </c>
      <c r="J56" s="14" t="inlineStr">
        <is>
          <t>—</t>
        </is>
      </c>
      <c r="K56" s="14" t="inlineStr">
        <is>
          <t>—</t>
        </is>
      </c>
      <c r="L56" s="14" t="inlineStr">
        <is>
          <t>Aprovado</t>
        </is>
      </c>
      <c r="M56" s="14" t="inlineStr">
        <is>
          <t>junit-sqlite.xml; junit-postgresql.xml</t>
        </is>
      </c>
      <c r="N56" s="14" t="inlineStr">
        <is>
          <t>—</t>
        </is>
      </c>
      <c r="O56" s="14" t="inlineStr">
        <is>
          <t>—</t>
        </is>
      </c>
    </row>
    <row r="57">
      <c r="A57" s="14" t="inlineStr">
        <is>
          <t>RBN01.09</t>
        </is>
      </c>
      <c r="B57" s="14" t="inlineStr">
        <is>
          <t>CT-01.09-02</t>
        </is>
      </c>
      <c r="C57" s="14" t="inlineStr">
        <is>
          <t>Segurança</t>
        </is>
      </c>
      <c r="D57" s="14" t="inlineStr">
        <is>
          <t>PUT com matrícula alterada</t>
        </is>
      </c>
      <c r="E57" s="14" t="inlineStr">
        <is>
          <t>Coberto</t>
        </is>
      </c>
      <c r="F57" s="14" t="inlineStr">
        <is>
          <t>API (pytest)</t>
        </is>
      </c>
      <c r="G57" s="14" t="inlineStr">
        <is>
          <t>test_perfil.py::test_ct_01_09_01_e_01_09_02_aluno_edita_telefone_mas_nao_o_curso</t>
        </is>
      </c>
      <c r="H57" s="14" t="inlineStr">
        <is>
          <t>Aprovado</t>
        </is>
      </c>
      <c r="I57" s="14" t="inlineStr">
        <is>
          <t>Aprovado</t>
        </is>
      </c>
      <c r="J57" s="14" t="inlineStr">
        <is>
          <t>—</t>
        </is>
      </c>
      <c r="K57" s="14" t="inlineStr">
        <is>
          <t>—</t>
        </is>
      </c>
      <c r="L57" s="14" t="inlineStr">
        <is>
          <t>Aprovado</t>
        </is>
      </c>
      <c r="M57" s="14" t="inlineStr">
        <is>
          <t>junit-sqlite.xml; junit-postgresql.xml</t>
        </is>
      </c>
      <c r="N57" s="14" t="inlineStr">
        <is>
          <t>—</t>
        </is>
      </c>
      <c r="O57" s="14" t="inlineStr">
        <is>
          <t>—</t>
        </is>
      </c>
    </row>
    <row r="58">
      <c r="A58" s="14" t="inlineStr">
        <is>
          <t>RBN01.09</t>
        </is>
      </c>
      <c r="B58" s="14" t="inlineStr">
        <is>
          <t>CT-01.09-03</t>
        </is>
      </c>
      <c r="C58" s="14" t="inlineStr">
        <is>
          <t>Negativo</t>
        </is>
      </c>
      <c r="D58" s="14" t="inlineStr">
        <is>
          <t>Enviar arquivo .exe como foto</t>
        </is>
      </c>
      <c r="E58" s="14" t="inlineStr">
        <is>
          <t>Coberto</t>
        </is>
      </c>
      <c r="F58" s="14" t="inlineStr">
        <is>
          <t>API (pytest)</t>
        </is>
      </c>
      <c r="G58" s="14" t="inlineStr">
        <is>
          <t>test_perfil.py::test_ct_01_09_03_foto_recusa_arquivo_que_nao_e_imagem_mesmo_com_extensao_certa
test_perfil.py::test_ct_01_09_03_foto_recusada_mantem_a_anterior</t>
        </is>
      </c>
      <c r="H58" s="14" t="inlineStr">
        <is>
          <t>Aprovado</t>
        </is>
      </c>
      <c r="I58" s="14" t="inlineStr">
        <is>
          <t>Aprovado</t>
        </is>
      </c>
      <c r="J58" s="14" t="inlineStr">
        <is>
          <t>—</t>
        </is>
      </c>
      <c r="K58" s="14" t="inlineStr">
        <is>
          <t>—</t>
        </is>
      </c>
      <c r="L58" s="14" t="inlineStr">
        <is>
          <t>Aprovado</t>
        </is>
      </c>
      <c r="M58" s="14" t="inlineStr">
        <is>
          <t>junit-sqlite.xml; junit-postgresql.xml</t>
        </is>
      </c>
      <c r="N58" s="14" t="inlineStr">
        <is>
          <t>—</t>
        </is>
      </c>
      <c r="O58" s="14" t="inlineStr">
        <is>
          <t>—</t>
        </is>
      </c>
    </row>
    <row r="59">
      <c r="A59" s="14" t="inlineStr">
        <is>
          <t>RBN01.09</t>
        </is>
      </c>
      <c r="B59" s="14" t="inlineStr">
        <is>
          <t>CT-01.09-04</t>
        </is>
      </c>
      <c r="C59" s="14" t="inlineStr">
        <is>
          <t>Segurança</t>
        </is>
      </c>
      <c r="D59" s="14" t="inlineStr">
        <is>
          <t>DELETE da própria conta</t>
        </is>
      </c>
      <c r="E59" s="14" t="inlineStr">
        <is>
          <t>Coberto</t>
        </is>
      </c>
      <c r="F59" s="14" t="inlineStr">
        <is>
          <t>API (pytest)</t>
        </is>
      </c>
      <c r="G59" s="14" t="inlineStr">
        <is>
          <t>test_perfil.py::test_ct_01_09_04_aluno_nao_exclui_a_propria_conta</t>
        </is>
      </c>
      <c r="H59" s="14" t="inlineStr">
        <is>
          <t>Aprovado</t>
        </is>
      </c>
      <c r="I59" s="14" t="inlineStr">
        <is>
          <t>Aprovado</t>
        </is>
      </c>
      <c r="J59" s="14" t="inlineStr">
        <is>
          <t>—</t>
        </is>
      </c>
      <c r="K59" s="14" t="inlineStr">
        <is>
          <t>—</t>
        </is>
      </c>
      <c r="L59" s="14" t="inlineStr">
        <is>
          <t>Aprovado</t>
        </is>
      </c>
      <c r="M59" s="14" t="inlineStr">
        <is>
          <t>junit-sqlite.xml; junit-postgresql.xml</t>
        </is>
      </c>
      <c r="N59" s="14" t="inlineStr">
        <is>
          <t>—</t>
        </is>
      </c>
      <c r="O59" s="14" t="inlineStr">
        <is>
          <t>—</t>
        </is>
      </c>
    </row>
    <row r="60">
      <c r="A60" s="14" t="inlineStr">
        <is>
          <t>RBN01.09</t>
        </is>
      </c>
      <c r="B60" s="14" t="inlineStr">
        <is>
          <t>CT-01.09-05</t>
        </is>
      </c>
      <c r="C60" s="14" t="inlineStr">
        <is>
          <t>Segurança</t>
        </is>
      </c>
      <c r="D60" s="14" t="inlineStr">
        <is>
          <t>Editar perfil do aluno B</t>
        </is>
      </c>
      <c r="E60" s="14" t="inlineStr">
        <is>
          <t>Coberto</t>
        </is>
      </c>
      <c r="F60" s="14" t="inlineStr">
        <is>
          <t>API (pytest)</t>
        </is>
      </c>
      <c r="G60" s="14" t="inlineStr">
        <is>
          <t>test_perfil.py::test_ct_01_09_05_e_01_10_05_ninguem_edita_o_perfil_de_outro</t>
        </is>
      </c>
      <c r="H60" s="14" t="inlineStr">
        <is>
          <t>Aprovado</t>
        </is>
      </c>
      <c r="I60" s="14" t="inlineStr">
        <is>
          <t>Aprovado</t>
        </is>
      </c>
      <c r="J60" s="14" t="inlineStr">
        <is>
          <t>—</t>
        </is>
      </c>
      <c r="K60" s="14" t="inlineStr">
        <is>
          <t>—</t>
        </is>
      </c>
      <c r="L60" s="14" t="inlineStr">
        <is>
          <t>Aprovado</t>
        </is>
      </c>
      <c r="M60" s="14" t="inlineStr">
        <is>
          <t>junit-sqlite.xml; junit-postgresql.xml</t>
        </is>
      </c>
      <c r="N60" s="14" t="inlineStr">
        <is>
          <t>—</t>
        </is>
      </c>
      <c r="O60" s="14" t="inlineStr">
        <is>
          <t>—</t>
        </is>
      </c>
    </row>
    <row r="61">
      <c r="A61" s="14" t="inlineStr">
        <is>
          <t>RBN01.09</t>
        </is>
      </c>
      <c r="B61" s="14" t="inlineStr">
        <is>
          <t>CT-01.09-06</t>
        </is>
      </c>
      <c r="C61" s="14" t="inlineStr">
        <is>
          <t>Não funcional</t>
        </is>
      </c>
      <c r="D61" s="14" t="inlineStr">
        <is>
          <t>Editar perfil</t>
        </is>
      </c>
      <c r="E61" s="14" t="inlineStr">
        <is>
          <t>Manual</t>
        </is>
      </c>
      <c r="F61" s="14" t="inlineStr">
        <is>
          <t>Navegador</t>
        </is>
      </c>
      <c r="G61" s="14" t="inlineStr">
        <is>
          <t>—</t>
        </is>
      </c>
      <c r="H61" s="14" t="inlineStr">
        <is>
          <t>—</t>
        </is>
      </c>
      <c r="I61" s="14" t="inlineStr">
        <is>
          <t>—</t>
        </is>
      </c>
      <c r="J61" s="14" t="inlineStr">
        <is>
          <t>Aprovado</t>
        </is>
      </c>
      <c r="K61" s="14" t="inlineStr">
        <is>
          <t>—</t>
        </is>
      </c>
      <c r="L61" s="14" t="inlineStr">
        <is>
          <t>Aprovado</t>
        </is>
      </c>
      <c r="M61" s="14" t="inlineStr">
        <is>
          <t>e2e-complementares.log; telas/complementar-perfil-aluno-360.png; telas/complementar-perfil-aluno-768.png</t>
        </is>
      </c>
      <c r="N61" s="14" t="inlineStr">
        <is>
          <t>perfil do aluno em 360 px sem rolagem horizontal (largura 360) | perfil do aluno em 768 px sem rolagem horizontal (largura 768)</t>
        </is>
      </c>
      <c r="O61" s="14" t="inlineStr">
        <is>
          <t>Manual: abrir a tela em 360 px (e 768 px) e conferir que não há rolagem horizontal. Parte de tela executada no navegador nesta rodada.</t>
        </is>
      </c>
    </row>
    <row r="62">
      <c r="A62" s="14" t="inlineStr">
        <is>
          <t>RBN01.10</t>
        </is>
      </c>
      <c r="B62" s="14" t="inlineStr">
        <is>
          <t>CT-01.10-01</t>
        </is>
      </c>
      <c r="C62" s="14" t="inlineStr">
        <is>
          <t>Funcional</t>
        </is>
      </c>
      <c r="D62" s="14" t="inlineStr">
        <is>
          <t>Alterar telefone, foto e curso</t>
        </is>
      </c>
      <c r="E62" s="14" t="inlineStr">
        <is>
          <t>Coberto</t>
        </is>
      </c>
      <c r="F62" s="14" t="inlineStr">
        <is>
          <t>API (pytest)</t>
        </is>
      </c>
      <c r="G62" s="14" t="inlineStr">
        <is>
          <t>test_perfil.py::test_ct_01_10_01_e_01_10_02_docente_edita_telefone_curso_e_areas</t>
        </is>
      </c>
      <c r="H62" s="14" t="inlineStr">
        <is>
          <t>Aprovado</t>
        </is>
      </c>
      <c r="I62" s="14" t="inlineStr">
        <is>
          <t>Aprovado</t>
        </is>
      </c>
      <c r="J62" s="14" t="inlineStr">
        <is>
          <t>—</t>
        </is>
      </c>
      <c r="K62" s="14" t="inlineStr">
        <is>
          <t>—</t>
        </is>
      </c>
      <c r="L62" s="14" t="inlineStr">
        <is>
          <t>Aprovado</t>
        </is>
      </c>
      <c r="M62" s="14" t="inlineStr">
        <is>
          <t>junit-sqlite.xml; junit-postgresql.xml</t>
        </is>
      </c>
      <c r="N62" s="14" t="inlineStr">
        <is>
          <t>—</t>
        </is>
      </c>
      <c r="O62" s="14" t="inlineStr">
        <is>
          <t>—</t>
        </is>
      </c>
    </row>
    <row r="63">
      <c r="A63" s="14" t="inlineStr">
        <is>
          <t>RBN01.10</t>
        </is>
      </c>
      <c r="B63" s="14" t="inlineStr">
        <is>
          <t>CT-01.10-02</t>
        </is>
      </c>
      <c r="C63" s="14" t="inlineStr">
        <is>
          <t>Funcional</t>
        </is>
      </c>
      <c r="D63" s="14" t="inlineStr">
        <is>
          <t>Selecionar "IA" e "Ciência de Dados"</t>
        </is>
      </c>
      <c r="E63" s="14" t="inlineStr">
        <is>
          <t>Coberto</t>
        </is>
      </c>
      <c r="F63" s="14" t="inlineStr">
        <is>
          <t>API (pytest)</t>
        </is>
      </c>
      <c r="G63" s="14" t="inlineStr">
        <is>
          <t>test_perfil.py::test_ct_01_10_01_e_01_10_02_docente_edita_telefone_curso_e_areas</t>
        </is>
      </c>
      <c r="H63" s="14" t="inlineStr">
        <is>
          <t>Aprovado</t>
        </is>
      </c>
      <c r="I63" s="14" t="inlineStr">
        <is>
          <t>Aprovado</t>
        </is>
      </c>
      <c r="J63" s="14" t="inlineStr">
        <is>
          <t>—</t>
        </is>
      </c>
      <c r="K63" s="14" t="inlineStr">
        <is>
          <t>—</t>
        </is>
      </c>
      <c r="L63" s="14" t="inlineStr">
        <is>
          <t>Aprovado</t>
        </is>
      </c>
      <c r="M63" s="14" t="inlineStr">
        <is>
          <t>junit-sqlite.xml; junit-postgresql.xml</t>
        </is>
      </c>
      <c r="N63" s="14" t="inlineStr">
        <is>
          <t>—</t>
        </is>
      </c>
      <c r="O63" s="14" t="inlineStr">
        <is>
          <t>—</t>
        </is>
      </c>
    </row>
    <row r="64">
      <c r="A64" s="14" t="inlineStr">
        <is>
          <t>RBN01.10</t>
        </is>
      </c>
      <c r="B64" s="14" t="inlineStr">
        <is>
          <t>CT-01.10-03</t>
        </is>
      </c>
      <c r="C64" s="14" t="inlineStr">
        <is>
          <t>Funcional</t>
        </is>
      </c>
      <c r="D64" s="14" t="inlineStr">
        <is>
          <t>Abrir perfil</t>
        </is>
      </c>
      <c r="E64" s="14" t="inlineStr">
        <is>
          <t>Parcial</t>
        </is>
      </c>
      <c r="F64" s="14" t="inlineStr">
        <is>
          <t>API (pytest) + Navegador</t>
        </is>
      </c>
      <c r="G64" s="14" t="inlineStr">
        <is>
          <t>test_perfil.py::test_ct_01_10_03_membro_da_banca_nao_escolhe_areas</t>
        </is>
      </c>
      <c r="H64" s="14" t="inlineStr">
        <is>
          <t>Aprovado</t>
        </is>
      </c>
      <c r="I64" s="14" t="inlineStr">
        <is>
          <t>Aprovado</t>
        </is>
      </c>
      <c r="J64" s="14" t="inlineStr">
        <is>
          <t>Aprovado</t>
        </is>
      </c>
      <c r="K64" s="14" t="inlineStr">
        <is>
          <t>—</t>
        </is>
      </c>
      <c r="L64" s="14" t="inlineStr">
        <is>
          <t>Aprovado</t>
        </is>
      </c>
      <c r="M64" s="14" t="inlineStr">
        <is>
          <t>junit-sqlite.xml; junit-postgresql.xml; e2e-complementares.log; telas/complementar-perfil-banca.png</t>
        </is>
      </c>
      <c r="N64" s="14" t="inlineStr">
        <is>
          <t>o perfil do membro da banca não oferece o campo de áreas de interesse</t>
        </is>
      </c>
      <c r="O64" s="14" t="inlineStr">
        <is>
          <t>A API recusa as áreas; a ausência do campo na tela é manual. Parte de tela executada no navegador nesta rodada.</t>
        </is>
      </c>
    </row>
    <row r="65">
      <c r="A65" s="14" t="inlineStr">
        <is>
          <t>RBN01.10</t>
        </is>
      </c>
      <c r="B65" s="14" t="inlineStr">
        <is>
          <t>CT-01.10-04</t>
        </is>
      </c>
      <c r="C65" s="14" t="inlineStr">
        <is>
          <t>Segurança</t>
        </is>
      </c>
      <c r="D65" s="14" t="inlineStr">
        <is>
          <t>PUT alterando e-mail</t>
        </is>
      </c>
      <c r="E65" s="14" t="inlineStr">
        <is>
          <t>Coberto</t>
        </is>
      </c>
      <c r="F65" s="14" t="inlineStr">
        <is>
          <t>API (pytest)</t>
        </is>
      </c>
      <c r="G65" s="14" t="inlineStr">
        <is>
          <t>test_perfil.py::test_ct_01_10_04_nome_e_email_so_a_coordenacao_altera</t>
        </is>
      </c>
      <c r="H65" s="14" t="inlineStr">
        <is>
          <t>Aprovado</t>
        </is>
      </c>
      <c r="I65" s="14" t="inlineStr">
        <is>
          <t>Aprovado</t>
        </is>
      </c>
      <c r="J65" s="14" t="inlineStr">
        <is>
          <t>—</t>
        </is>
      </c>
      <c r="K65" s="14" t="inlineStr">
        <is>
          <t>—</t>
        </is>
      </c>
      <c r="L65" s="14" t="inlineStr">
        <is>
          <t>Aprovado</t>
        </is>
      </c>
      <c r="M65" s="14" t="inlineStr">
        <is>
          <t>junit-sqlite.xml; junit-postgresql.xml</t>
        </is>
      </c>
      <c r="N65" s="14" t="inlineStr">
        <is>
          <t>—</t>
        </is>
      </c>
      <c r="O65" s="14" t="inlineStr">
        <is>
          <t>—</t>
        </is>
      </c>
    </row>
    <row r="66">
      <c r="A66" s="14" t="inlineStr">
        <is>
          <t>RBN01.10</t>
        </is>
      </c>
      <c r="B66" s="14" t="inlineStr">
        <is>
          <t>CT-01.10-05</t>
        </is>
      </c>
      <c r="C66" s="14" t="inlineStr">
        <is>
          <t>Segurança</t>
        </is>
      </c>
      <c r="D66" s="14" t="inlineStr">
        <is>
          <t>Editar perfil do B</t>
        </is>
      </c>
      <c r="E66" s="14" t="inlineStr">
        <is>
          <t>Coberto</t>
        </is>
      </c>
      <c r="F66" s="14" t="inlineStr">
        <is>
          <t>API (pytest)</t>
        </is>
      </c>
      <c r="G66" s="14" t="inlineStr">
        <is>
          <t>test_perfil.py::test_ct_01_09_05_e_01_10_05_ninguem_edita_o_perfil_de_outro</t>
        </is>
      </c>
      <c r="H66" s="14" t="inlineStr">
        <is>
          <t>Aprovado</t>
        </is>
      </c>
      <c r="I66" s="14" t="inlineStr">
        <is>
          <t>Aprovado</t>
        </is>
      </c>
      <c r="J66" s="14" t="inlineStr">
        <is>
          <t>—</t>
        </is>
      </c>
      <c r="K66" s="14" t="inlineStr">
        <is>
          <t>—</t>
        </is>
      </c>
      <c r="L66" s="14" t="inlineStr">
        <is>
          <t>Aprovado</t>
        </is>
      </c>
      <c r="M66" s="14" t="inlineStr">
        <is>
          <t>junit-sqlite.xml; junit-postgresql.xml</t>
        </is>
      </c>
      <c r="N66" s="14" t="inlineStr">
        <is>
          <t>—</t>
        </is>
      </c>
      <c r="O66" s="14" t="inlineStr">
        <is>
          <t>—</t>
        </is>
      </c>
    </row>
    <row r="67">
      <c r="A67" s="14" t="inlineStr">
        <is>
          <t>RBN01.10</t>
        </is>
      </c>
      <c r="B67" s="14" t="inlineStr">
        <is>
          <t>CT-01.10-06</t>
        </is>
      </c>
      <c r="C67" s="14" t="inlineStr">
        <is>
          <t>Integração</t>
        </is>
      </c>
      <c r="D67" s="14" t="inlineStr">
        <is>
          <t>Professor vinculado à IA consulta propostas</t>
        </is>
      </c>
      <c r="E67" s="14" t="inlineStr">
        <is>
          <t>Pendente</t>
        </is>
      </c>
      <c r="F67" s="14" t="inlineStr">
        <is>
          <t>API (pytest)</t>
        </is>
      </c>
      <c r="G67" s="14" t="inlineStr">
        <is>
          <t>test_cts_complementares.py::test_ct_01_10_06_professor_ve_as_propostas_da_sua_area</t>
        </is>
      </c>
      <c r="H67" s="14" t="inlineStr">
        <is>
          <t>Pulado</t>
        </is>
      </c>
      <c r="I67" s="14" t="inlineStr">
        <is>
          <t>Pulado</t>
        </is>
      </c>
      <c r="J67" s="14" t="inlineStr">
        <is>
          <t>—</t>
        </is>
      </c>
      <c r="K67" s="14" t="inlineStr">
        <is>
          <t>—</t>
        </is>
      </c>
      <c r="L67" s="14" t="inlineStr">
        <is>
          <t>Pendente</t>
        </is>
      </c>
      <c r="M67" s="14" t="inlineStr">
        <is>
          <t>junit-sqlite.xml; junit-postgresql.xml</t>
        </is>
      </c>
      <c r="N67" s="14" t="inlineStr">
        <is>
          <t>—</t>
        </is>
      </c>
      <c r="O67" s="14" t="inlineStr">
        <is>
          <t>Pendente: depende do módulo de ideias e propostas (RBN02.01).</t>
        </is>
      </c>
    </row>
    <row r="68">
      <c r="A68" s="14" t="inlineStr">
        <is>
          <t>RBN03.01</t>
        </is>
      </c>
      <c r="B68" s="14" t="inlineStr">
        <is>
          <t>CT-03.01-01</t>
        </is>
      </c>
      <c r="C68" s="14" t="inlineStr">
        <is>
          <t>Funcional</t>
        </is>
      </c>
      <c r="D68" s="14" t="inlineStr">
        <is>
          <t>Abrir TEL05</t>
        </is>
      </c>
      <c r="E68" s="14" t="inlineStr">
        <is>
          <t>Parcial</t>
        </is>
      </c>
      <c r="F68" s="14" t="inlineStr">
        <is>
          <t>API (pytest) + Navegador</t>
        </is>
      </c>
      <c r="G68" s="14" t="inlineStr">
        <is>
          <t>test_tcc.py::test_ct_03_01_01_formulario_traz_turma_orientadores_e_areas</t>
        </is>
      </c>
      <c r="H68" s="14" t="inlineStr">
        <is>
          <t>Aprovado</t>
        </is>
      </c>
      <c r="I68" s="14" t="inlineStr">
        <is>
          <t>Aprovado</t>
        </is>
      </c>
      <c r="J68" s="14" t="inlineStr">
        <is>
          <t>Aprovado</t>
        </is>
      </c>
      <c r="K68" s="14" t="inlineStr">
        <is>
          <t>—</t>
        </is>
      </c>
      <c r="L68" s="14" t="inlineStr">
        <is>
          <t>Aprovado</t>
        </is>
      </c>
      <c r="M68" s="14" t="inlineStr">
        <is>
          <t>junit-sqlite.xml; junit-postgresql.xml; e2e-complementares.log; telas/complementar-cadastro-artigo-360.png</t>
        </is>
      </c>
      <c r="N68" s="14" t="inlineStr">
        <is>
          <t>o cadastro mostra turma, etapa e período vindos da turma da aluna</t>
        </is>
      </c>
      <c r="O68" s="14" t="inlineStr">
        <is>
          <t>A API devolve os dados; a exibição na tela é manual. Parte de tela executada no navegador nesta rodada.</t>
        </is>
      </c>
    </row>
    <row r="69">
      <c r="A69" s="14" t="inlineStr">
        <is>
          <t>RBN03.01</t>
        </is>
      </c>
      <c r="B69" s="14" t="inlineStr">
        <is>
          <t>CT-03.01-02</t>
        </is>
      </c>
      <c r="C69" s="14" t="inlineStr">
        <is>
          <t>Limite</t>
        </is>
      </c>
      <c r="D69" s="14" t="inlineStr">
        <is>
          <t>Resumo com 501 palavras</t>
        </is>
      </c>
      <c r="E69" s="14" t="inlineStr">
        <is>
          <t>Coberto</t>
        </is>
      </c>
      <c r="F69" s="14" t="inlineStr">
        <is>
          <t>API (pytest)</t>
        </is>
      </c>
      <c r="G69" s="14" t="inlineStr">
        <is>
          <t>test_tcc.py::test_ct_03_01_02_e_03_01_03_resumo_ate_500_palavras_e_ate_10_palavras_chave</t>
        </is>
      </c>
      <c r="H69" s="14" t="inlineStr">
        <is>
          <t>Aprovado</t>
        </is>
      </c>
      <c r="I69" s="14" t="inlineStr">
        <is>
          <t>Aprovado</t>
        </is>
      </c>
      <c r="J69" s="14" t="inlineStr">
        <is>
          <t>—</t>
        </is>
      </c>
      <c r="K69" s="14" t="inlineStr">
        <is>
          <t>—</t>
        </is>
      </c>
      <c r="L69" s="14" t="inlineStr">
        <is>
          <t>Aprovado</t>
        </is>
      </c>
      <c r="M69" s="14" t="inlineStr">
        <is>
          <t>junit-sqlite.xml; junit-postgresql.xml</t>
        </is>
      </c>
      <c r="N69" s="14" t="inlineStr">
        <is>
          <t>—</t>
        </is>
      </c>
      <c r="O69" s="14" t="inlineStr">
        <is>
          <t>—</t>
        </is>
      </c>
    </row>
    <row r="70">
      <c r="A70" s="14" t="inlineStr">
        <is>
          <t>RBN03.01</t>
        </is>
      </c>
      <c r="B70" s="14" t="inlineStr">
        <is>
          <t>CT-03.01-03</t>
        </is>
      </c>
      <c r="C70" s="14" t="inlineStr">
        <is>
          <t>Limite</t>
        </is>
      </c>
      <c r="D70" s="14" t="inlineStr">
        <is>
          <t>11 palavras-chave</t>
        </is>
      </c>
      <c r="E70" s="14" t="inlineStr">
        <is>
          <t>Coberto</t>
        </is>
      </c>
      <c r="F70" s="14" t="inlineStr">
        <is>
          <t>API (pytest)</t>
        </is>
      </c>
      <c r="G70" s="14" t="inlineStr">
        <is>
          <t>test_tcc.py::test_ct_03_01_02_e_03_01_03_resumo_ate_500_palavras_e_ate_10_palavras_chave</t>
        </is>
      </c>
      <c r="H70" s="14" t="inlineStr">
        <is>
          <t>Aprovado</t>
        </is>
      </c>
      <c r="I70" s="14" t="inlineStr">
        <is>
          <t>Aprovado</t>
        </is>
      </c>
      <c r="J70" s="14" t="inlineStr">
        <is>
          <t>—</t>
        </is>
      </c>
      <c r="K70" s="14" t="inlineStr">
        <is>
          <t>—</t>
        </is>
      </c>
      <c r="L70" s="14" t="inlineStr">
        <is>
          <t>Aprovado</t>
        </is>
      </c>
      <c r="M70" s="14" t="inlineStr">
        <is>
          <t>junit-sqlite.xml; junit-postgresql.xml</t>
        </is>
      </c>
      <c r="N70" s="14" t="inlineStr">
        <is>
          <t>—</t>
        </is>
      </c>
      <c r="O70" s="14" t="inlineStr">
        <is>
          <t>—</t>
        </is>
      </c>
    </row>
    <row r="71">
      <c r="A71" s="14" t="inlineStr">
        <is>
          <t>RBN03.01</t>
        </is>
      </c>
      <c r="B71" s="14" t="inlineStr">
        <is>
          <t>CT-03.01-04</t>
        </is>
      </c>
      <c r="C71" s="14" t="inlineStr">
        <is>
          <t>Funcional</t>
        </is>
      </c>
      <c r="D71" s="14" t="inlineStr">
        <is>
          <t>Salvar com só o título</t>
        </is>
      </c>
      <c r="E71" s="14" t="inlineStr">
        <is>
          <t>Coberto</t>
        </is>
      </c>
      <c r="F71" s="14" t="inlineStr">
        <is>
          <t>API (pytest) + Navegador</t>
        </is>
      </c>
      <c r="G71" s="14" t="inlineStr">
        <is>
          <t>test_tcc.py::test_ct_03_01_04_e_03_04_02_e_06_01_01_rascunho_sem_protocolo_e_vinculo_pendente</t>
        </is>
      </c>
      <c r="H71" s="14" t="inlineStr">
        <is>
          <t>Aprovado</t>
        </is>
      </c>
      <c r="I71" s="14" t="inlineStr">
        <is>
          <t>Aprovado</t>
        </is>
      </c>
      <c r="J71" s="14" t="inlineStr">
        <is>
          <t>Aprovado</t>
        </is>
      </c>
      <c r="K71" s="14" t="inlineStr">
        <is>
          <t>—</t>
        </is>
      </c>
      <c r="L71" s="14" t="inlineStr">
        <is>
          <t>Aprovado</t>
        </is>
      </c>
      <c r="M71" s="14" t="inlineStr">
        <is>
          <t>junit-sqlite.xml; junit-postgresql.xml; e2e-cadastro_tcc.log; e2e-salvar_rascunho.log; telas/rascunho-1-salvo-sem-sair.png</t>
        </is>
      </c>
      <c r="N71" s="14" t="inlineStr">
        <is>
          <t>rascunho salvo ao continuar (DS-FL01-B) | Salvar rascunho mantém a aluna no cadastro (RBN03.01)</t>
        </is>
      </c>
      <c r="O71" s="14" t="inlineStr">
        <is>
          <t>—</t>
        </is>
      </c>
    </row>
    <row r="72">
      <c r="A72" s="14" t="inlineStr">
        <is>
          <t>RBN03.01</t>
        </is>
      </c>
      <c r="B72" s="14" t="inlineStr">
        <is>
          <t>CT-03.01-05</t>
        </is>
      </c>
      <c r="C72" s="14" t="inlineStr">
        <is>
          <t>Funcional</t>
        </is>
      </c>
      <c r="D72" s="14" t="inlineStr">
        <is>
          <t>Omitir subtítulo e coorientador</t>
        </is>
      </c>
      <c r="E72" s="14" t="inlineStr">
        <is>
          <t>Coberto</t>
        </is>
      </c>
      <c r="F72" s="14" t="inlineStr">
        <is>
          <t>API (pytest)</t>
        </is>
      </c>
      <c r="G72" s="14" t="inlineStr">
        <is>
          <t>test_tcc.py::test_ct_03_01_04_e_03_04_02_e_06_01_01_rascunho_sem_protocolo_e_vinculo_pendente</t>
        </is>
      </c>
      <c r="H72" s="14" t="inlineStr">
        <is>
          <t>Aprovado</t>
        </is>
      </c>
      <c r="I72" s="14" t="inlineStr">
        <is>
          <t>Aprovado</t>
        </is>
      </c>
      <c r="J72" s="14" t="inlineStr">
        <is>
          <t>—</t>
        </is>
      </c>
      <c r="K72" s="14" t="inlineStr">
        <is>
          <t>—</t>
        </is>
      </c>
      <c r="L72" s="14" t="inlineStr">
        <is>
          <t>Aprovado</t>
        </is>
      </c>
      <c r="M72" s="14" t="inlineStr">
        <is>
          <t>junit-sqlite.xml; junit-postgresql.xml</t>
        </is>
      </c>
      <c r="N72" s="14" t="inlineStr">
        <is>
          <t>—</t>
        </is>
      </c>
      <c r="O72" s="14" t="inlineStr">
        <is>
          <t>—</t>
        </is>
      </c>
    </row>
    <row r="73">
      <c r="A73" s="14" t="inlineStr">
        <is>
          <t>RBN03.01</t>
        </is>
      </c>
      <c r="B73" s="14" t="inlineStr">
        <is>
          <t>CT-03.01-06</t>
        </is>
      </c>
      <c r="C73" s="14" t="inlineStr">
        <is>
          <t>Integração</t>
        </is>
      </c>
      <c r="D73" s="14" t="inlineStr">
        <is>
          <t>Salvar</t>
        </is>
      </c>
      <c r="E73" s="14" t="inlineStr">
        <is>
          <t>Coberto</t>
        </is>
      </c>
      <c r="F73" s="14" t="inlineStr">
        <is>
          <t>API (pytest)</t>
        </is>
      </c>
      <c r="G73" s="14" t="inlineStr">
        <is>
          <t>test_cts_complementares.py::test_ct_03_01_06_aluno_de_outro_curso_salva_o_cadastro_e_mantem_o_curso</t>
        </is>
      </c>
      <c r="H73" s="14" t="inlineStr">
        <is>
          <t>Aprovado</t>
        </is>
      </c>
      <c r="I73" s="14" t="inlineStr">
        <is>
          <t>Aprovado</t>
        </is>
      </c>
      <c r="J73" s="14" t="inlineStr">
        <is>
          <t>—</t>
        </is>
      </c>
      <c r="K73" s="14" t="inlineStr">
        <is>
          <t>—</t>
        </is>
      </c>
      <c r="L73" s="14" t="inlineStr">
        <is>
          <t>Aprovado</t>
        </is>
      </c>
      <c r="M73" s="14" t="inlineStr">
        <is>
          <t>junit-sqlite.xml; junit-postgresql.xml</t>
        </is>
      </c>
      <c r="N73" s="14" t="inlineStr">
        <is>
          <t>—</t>
        </is>
      </c>
      <c r="O73" s="14" t="inlineStr">
        <is>
          <t>—</t>
        </is>
      </c>
    </row>
    <row r="74">
      <c r="A74" s="14" t="inlineStr">
        <is>
          <t>RBN03.01</t>
        </is>
      </c>
      <c r="B74" s="14" t="inlineStr">
        <is>
          <t>CT-03.01-07</t>
        </is>
      </c>
      <c r="C74" s="14" t="inlineStr">
        <is>
          <t>Não funcional</t>
        </is>
      </c>
      <c r="D74" s="14" t="inlineStr">
        <is>
          <t>Preencher e salvar</t>
        </is>
      </c>
      <c r="E74" s="14" t="inlineStr">
        <is>
          <t>Manual</t>
        </is>
      </c>
      <c r="F74" s="14" t="inlineStr">
        <is>
          <t>Navegador</t>
        </is>
      </c>
      <c r="G74" s="14" t="inlineStr">
        <is>
          <t>—</t>
        </is>
      </c>
      <c r="H74" s="14" t="inlineStr">
        <is>
          <t>—</t>
        </is>
      </c>
      <c r="I74" s="14" t="inlineStr">
        <is>
          <t>—</t>
        </is>
      </c>
      <c r="J74" s="14" t="inlineStr">
        <is>
          <t>Aprovado</t>
        </is>
      </c>
      <c r="K74" s="14" t="inlineStr">
        <is>
          <t>—</t>
        </is>
      </c>
      <c r="L74" s="14" t="inlineStr">
        <is>
          <t>Aprovado</t>
        </is>
      </c>
      <c r="M74" s="14" t="inlineStr">
        <is>
          <t>e2e-complementares.log; telas/complementar-cadastro-artigo-360.png; telas/complementar-cadastro-768.png</t>
        </is>
      </c>
      <c r="N74" s="14" t="inlineStr">
        <is>
          <t>cadastro de TCC (artigo) em 360 px sem rolagem horizontal (largura 360) | cadastro de TCC (monografia) em 360 px sem rolagem horizontal (largura 360) | cadastro de TCC em 768 px sem rolagem horizontal (largura 768)</t>
        </is>
      </c>
      <c r="O74" s="14" t="inlineStr">
        <is>
          <t>Manual: abrir a tela em 360 px (e 768 px) e conferir que não há rolagem horizontal. Parte de tela executada no navegador nesta rodada.</t>
        </is>
      </c>
    </row>
    <row r="75">
      <c r="A75" s="14" t="inlineStr">
        <is>
          <t>RBN03.01</t>
        </is>
      </c>
      <c r="B75" s="14" t="inlineStr">
        <is>
          <t>CT-03.01-08</t>
        </is>
      </c>
      <c r="C75" s="14" t="inlineStr">
        <is>
          <t>Integração</t>
        </is>
      </c>
      <c r="D75" s="14" t="inlineStr">
        <is>
          <t>Enviar formulário completo (monografia)</t>
        </is>
      </c>
      <c r="E75" s="14" t="inlineStr">
        <is>
          <t>Parcial</t>
        </is>
      </c>
      <c r="F75" s="14" t="inlineStr">
        <is>
          <t>API (pytest) + Navegador</t>
        </is>
      </c>
      <c r="G75" s="14" t="inlineStr">
        <is>
          <t>test_tcc.py::test_ct_03_01_08_editar_rascunho_audita_cada_campo</t>
        </is>
      </c>
      <c r="H75" s="14" t="inlineStr">
        <is>
          <t>Aprovado</t>
        </is>
      </c>
      <c r="I75" s="14" t="inlineStr">
        <is>
          <t>Aprovado</t>
        </is>
      </c>
      <c r="J75" s="14" t="inlineStr">
        <is>
          <t>Aprovado</t>
        </is>
      </c>
      <c r="K75" s="14" t="inlineStr">
        <is>
          <t>—</t>
        </is>
      </c>
      <c r="L75" s="14" t="inlineStr">
        <is>
          <t>Aprovado</t>
        </is>
      </c>
      <c r="M75" s="14" t="inlineStr">
        <is>
          <t>junit-sqlite.xml; junit-postgresql.xml; e2e-cadastro_tcc.log; telas/cadastro-1-trabalho.png; telas/cadastro-5-protocolo.png</t>
        </is>
      </c>
      <c r="N75" s="14" t="inlineStr">
        <is>
          <t>protocolo único gerado: TCC-2026-00001 (RBN03.04)</t>
        </is>
      </c>
      <c r="O75" s="14" t="inlineStr">
        <is>
          <t>Via API; o clique na tela é manual. Parte de tela executada no navegador nesta rodada.</t>
        </is>
      </c>
    </row>
    <row r="76">
      <c r="A76" s="14" t="inlineStr">
        <is>
          <t>RBN03.02</t>
        </is>
      </c>
      <c r="B76" s="14" t="inlineStr">
        <is>
          <t>CT-03.02-01</t>
        </is>
      </c>
      <c r="C76" s="14" t="inlineStr">
        <is>
          <t>Funcional</t>
        </is>
      </c>
      <c r="D76" s="14" t="inlineStr">
        <is>
          <t>Selecionar "artigo"</t>
        </is>
      </c>
      <c r="E76" s="14" t="inlineStr">
        <is>
          <t>Manual</t>
        </is>
      </c>
      <c r="F76" s="14" t="inlineStr">
        <is>
          <t>Navegador</t>
        </is>
      </c>
      <c r="G76" s="14" t="inlineStr">
        <is>
          <t>—</t>
        </is>
      </c>
      <c r="H76" s="14" t="inlineStr">
        <is>
          <t>—</t>
        </is>
      </c>
      <c r="I76" s="14" t="inlineStr">
        <is>
          <t>—</t>
        </is>
      </c>
      <c r="J76" s="14" t="inlineStr">
        <is>
          <t>Aprovado</t>
        </is>
      </c>
      <c r="K76" s="14" t="inlineStr">
        <is>
          <t>—</t>
        </is>
      </c>
      <c r="L76" s="14" t="inlineStr">
        <is>
          <t>Aprovado</t>
        </is>
      </c>
      <c r="M76" s="14" t="inlineStr">
        <is>
          <t>e2e-complementares.log; telas/complementar-cadastro-artigo-360.png</t>
        </is>
      </c>
      <c r="N76" s="14" t="inlineStr">
        <is>
          <t>com modalidade artigo aparecem veículo, tipo de veículo, situação editorial e DOI | o rascunho de artigo guarda os dados editoriais</t>
        </is>
      </c>
      <c r="O76" s="14" t="inlineStr">
        <is>
          <t>Manual: conferir na tela que os campos editoriais aparecem em artigo. Parte de tela executada no navegador nesta rodada.</t>
        </is>
      </c>
    </row>
    <row r="77">
      <c r="A77" s="14" t="inlineStr">
        <is>
          <t>RBN03.02</t>
        </is>
      </c>
      <c r="B77" s="14" t="inlineStr">
        <is>
          <t>CT-03.02-02</t>
        </is>
      </c>
      <c r="C77" s="14" t="inlineStr">
        <is>
          <t>Funcional</t>
        </is>
      </c>
      <c r="D77" s="14" t="inlineStr">
        <is>
          <t>Selecionar "monografia"</t>
        </is>
      </c>
      <c r="E77" s="14" t="inlineStr">
        <is>
          <t>Manual</t>
        </is>
      </c>
      <c r="F77" s="14" t="inlineStr">
        <is>
          <t>Navegador</t>
        </is>
      </c>
      <c r="G77" s="14" t="inlineStr">
        <is>
          <t>—</t>
        </is>
      </c>
      <c r="H77" s="14" t="inlineStr">
        <is>
          <t>—</t>
        </is>
      </c>
      <c r="I77" s="14" t="inlineStr">
        <is>
          <t>—</t>
        </is>
      </c>
      <c r="J77" s="14" t="inlineStr">
        <is>
          <t>Aprovado</t>
        </is>
      </c>
      <c r="K77" s="14" t="inlineStr">
        <is>
          <t>—</t>
        </is>
      </c>
      <c r="L77" s="14" t="inlineStr">
        <is>
          <t>Aprovado</t>
        </is>
      </c>
      <c r="M77" s="14" t="inlineStr">
        <is>
          <t>e2e-complementares.log; telas/complementar-cadastro-monografia-360.png</t>
        </is>
      </c>
      <c r="N77" s="14" t="inlineStr">
        <is>
          <t>sem modalidade artigo, os campos editoriais não aparecem</t>
        </is>
      </c>
      <c r="O77" s="14" t="inlineStr">
        <is>
          <t>Manual: conferir na tela que os campos editoriais não aparecem em monografia. Parte de tela executada no navegador nesta rodada.</t>
        </is>
      </c>
    </row>
    <row r="78">
      <c r="A78" s="14" t="inlineStr">
        <is>
          <t>RBN03.02</t>
        </is>
      </c>
      <c r="B78" s="14" t="inlineStr">
        <is>
          <t>CT-03.02-03</t>
        </is>
      </c>
      <c r="C78" s="14" t="inlineStr">
        <is>
          <t>Integração</t>
        </is>
      </c>
      <c r="D78" s="14" t="inlineStr">
        <is>
          <t>Enviar cadastro</t>
        </is>
      </c>
      <c r="E78" s="14" t="inlineStr">
        <is>
          <t>Coberto</t>
        </is>
      </c>
      <c r="F78" s="14" t="inlineStr">
        <is>
          <t>API (pytest)</t>
        </is>
      </c>
      <c r="G78" s="14" t="inlineStr">
        <is>
          <t>test_tcc.py::test_ct_03_02_03_e_03_02_04_artigo_publicado_exige_doi</t>
        </is>
      </c>
      <c r="H78" s="14" t="inlineStr">
        <is>
          <t>Aprovado</t>
        </is>
      </c>
      <c r="I78" s="14" t="inlineStr">
        <is>
          <t>Aprovado</t>
        </is>
      </c>
      <c r="J78" s="14" t="inlineStr">
        <is>
          <t>—</t>
        </is>
      </c>
      <c r="K78" s="14" t="inlineStr">
        <is>
          <t>—</t>
        </is>
      </c>
      <c r="L78" s="14" t="inlineStr">
        <is>
          <t>Aprovado</t>
        </is>
      </c>
      <c r="M78" s="14" t="inlineStr">
        <is>
          <t>junit-sqlite.xml; junit-postgresql.xml</t>
        </is>
      </c>
      <c r="N78" s="14" t="inlineStr">
        <is>
          <t>—</t>
        </is>
      </c>
      <c r="O78" s="14" t="inlineStr">
        <is>
          <t>—</t>
        </is>
      </c>
    </row>
    <row r="79">
      <c r="A79" s="14" t="inlineStr">
        <is>
          <t>RBN03.02</t>
        </is>
      </c>
      <c r="B79" s="14" t="inlineStr">
        <is>
          <t>CT-03.02-04</t>
        </is>
      </c>
      <c r="C79" s="14" t="inlineStr">
        <is>
          <t>Negativo</t>
        </is>
      </c>
      <c r="D79" s="14" t="inlineStr">
        <is>
          <t>Enviar sem DOI</t>
        </is>
      </c>
      <c r="E79" s="14" t="inlineStr">
        <is>
          <t>Coberto</t>
        </is>
      </c>
      <c r="F79" s="14" t="inlineStr">
        <is>
          <t>API (pytest)</t>
        </is>
      </c>
      <c r="G79" s="14" t="inlineStr">
        <is>
          <t>test_tcc.py::test_ct_03_02_03_e_03_02_04_artigo_publicado_exige_doi</t>
        </is>
      </c>
      <c r="H79" s="14" t="inlineStr">
        <is>
          <t>Aprovado</t>
        </is>
      </c>
      <c r="I79" s="14" t="inlineStr">
        <is>
          <t>Aprovado</t>
        </is>
      </c>
      <c r="J79" s="14" t="inlineStr">
        <is>
          <t>—</t>
        </is>
      </c>
      <c r="K79" s="14" t="inlineStr">
        <is>
          <t>—</t>
        </is>
      </c>
      <c r="L79" s="14" t="inlineStr">
        <is>
          <t>Aprovado</t>
        </is>
      </c>
      <c r="M79" s="14" t="inlineStr">
        <is>
          <t>junit-sqlite.xml; junit-postgresql.xml</t>
        </is>
      </c>
      <c r="N79" s="14" t="inlineStr">
        <is>
          <t>—</t>
        </is>
      </c>
      <c r="O79" s="14" t="inlineStr">
        <is>
          <t>—</t>
        </is>
      </c>
    </row>
    <row r="80">
      <c r="A80" s="14" t="inlineStr">
        <is>
          <t>RBN03.02</t>
        </is>
      </c>
      <c r="B80" s="14" t="inlineStr">
        <is>
          <t>CT-03.02-05</t>
        </is>
      </c>
      <c r="C80" s="14" t="inlineStr">
        <is>
          <t>Funcional</t>
        </is>
      </c>
      <c r="D80" s="14" t="inlineStr">
        <is>
          <t>Enviar sem DOI</t>
        </is>
      </c>
      <c r="E80" s="14" t="inlineStr">
        <is>
          <t>Coberto</t>
        </is>
      </c>
      <c r="F80" s="14" t="inlineStr">
        <is>
          <t>API (pytest)</t>
        </is>
      </c>
      <c r="G80" s="14" t="inlineStr">
        <is>
          <t>test_cts_complementares.py::test_ct_03_02_05_artigo_submetido_nao_exige_doi</t>
        </is>
      </c>
      <c r="H80" s="14" t="inlineStr">
        <is>
          <t>Aprovado</t>
        </is>
      </c>
      <c r="I80" s="14" t="inlineStr">
        <is>
          <t>Aprovado</t>
        </is>
      </c>
      <c r="J80" s="14" t="inlineStr">
        <is>
          <t>—</t>
        </is>
      </c>
      <c r="K80" s="14" t="inlineStr">
        <is>
          <t>—</t>
        </is>
      </c>
      <c r="L80" s="14" t="inlineStr">
        <is>
          <t>Aprovado</t>
        </is>
      </c>
      <c r="M80" s="14" t="inlineStr">
        <is>
          <t>junit-sqlite.xml; junit-postgresql.xml</t>
        </is>
      </c>
      <c r="N80" s="14" t="inlineStr">
        <is>
          <t>—</t>
        </is>
      </c>
      <c r="O80" s="14" t="inlineStr">
        <is>
          <t>—</t>
        </is>
      </c>
    </row>
    <row r="81">
      <c r="A81" s="14" t="inlineStr">
        <is>
          <t>RBN03.02</t>
        </is>
      </c>
      <c r="B81" s="14" t="inlineStr">
        <is>
          <t>CT-03.02-06</t>
        </is>
      </c>
      <c r="C81" s="14" t="inlineStr">
        <is>
          <t>Segurança</t>
        </is>
      </c>
      <c r="D81" s="14" t="inlineStr">
        <is>
          <t>POST com situação "xyz"</t>
        </is>
      </c>
      <c r="E81" s="14" t="inlineStr">
        <is>
          <t>Coberto</t>
        </is>
      </c>
      <c r="F81" s="14" t="inlineStr">
        <is>
          <t>API (pytest)</t>
        </is>
      </c>
      <c r="G81" s="14" t="inlineStr">
        <is>
          <t>test_cts_complementares.py::test_ct_03_02_06_situacao_editorial_fora_dos_valores_previstos_e_recusada</t>
        </is>
      </c>
      <c r="H81" s="14" t="inlineStr">
        <is>
          <t>Aprovado</t>
        </is>
      </c>
      <c r="I81" s="14" t="inlineStr">
        <is>
          <t>Aprovado</t>
        </is>
      </c>
      <c r="J81" s="14" t="inlineStr">
        <is>
          <t>—</t>
        </is>
      </c>
      <c r="K81" s="14" t="inlineStr">
        <is>
          <t>—</t>
        </is>
      </c>
      <c r="L81" s="14" t="inlineStr">
        <is>
          <t>Aprovado</t>
        </is>
      </c>
      <c r="M81" s="14" t="inlineStr">
        <is>
          <t>junit-sqlite.xml; junit-postgresql.xml</t>
        </is>
      </c>
      <c r="N81" s="14" t="inlineStr">
        <is>
          <t>—</t>
        </is>
      </c>
      <c r="O81" s="14" t="inlineStr">
        <is>
          <t>—</t>
        </is>
      </c>
    </row>
    <row r="82">
      <c r="A82" s="14" t="inlineStr">
        <is>
          <t>RBN03.02</t>
        </is>
      </c>
      <c r="B82" s="14" t="inlineStr">
        <is>
          <t>CT-03.02-07</t>
        </is>
      </c>
      <c r="C82" s="14" t="inlineStr">
        <is>
          <t>Funcional</t>
        </is>
      </c>
      <c r="D82" s="14" t="inlineStr">
        <is>
          <t>Trocar para monografia</t>
        </is>
      </c>
      <c r="E82" s="14" t="inlineStr">
        <is>
          <t>Manual</t>
        </is>
      </c>
      <c r="F82" s="14" t="inlineStr">
        <is>
          <t>Navegador</t>
        </is>
      </c>
      <c r="G82" s="14" t="inlineStr">
        <is>
          <t>—</t>
        </is>
      </c>
      <c r="H82" s="14" t="inlineStr">
        <is>
          <t>—</t>
        </is>
      </c>
      <c r="I82" s="14" t="inlineStr">
        <is>
          <t>—</t>
        </is>
      </c>
      <c r="J82" s="14" t="inlineStr">
        <is>
          <t>Aprovado</t>
        </is>
      </c>
      <c r="K82" s="14" t="inlineStr">
        <is>
          <t>—</t>
        </is>
      </c>
      <c r="L82" s="14" t="inlineStr">
        <is>
          <t>Aprovado</t>
        </is>
      </c>
      <c r="M82" s="14" t="inlineStr">
        <is>
          <t>e2e-complementares.log; telas/complementar-cadastro-monografia-360.png</t>
        </is>
      </c>
      <c r="N82" s="14" t="inlineStr">
        <is>
          <t>ao trocar para monografia, os campos editoriais somem da tela | depois da troca, o cadastro é monografia e não traz mais os dados do artigo</t>
        </is>
      </c>
      <c r="O82" s="14" t="inlineStr">
        <is>
          <t>Manual: trocar para monografia na tela e conferir que os campos somem. Parte de tela executada no navegador nesta rodada.</t>
        </is>
      </c>
    </row>
    <row r="83">
      <c r="A83" s="14" t="inlineStr">
        <is>
          <t>RBN03.03</t>
        </is>
      </c>
      <c r="B83" s="14" t="inlineStr">
        <is>
          <t>CT-03.03-01</t>
        </is>
      </c>
      <c r="C83" s="14" t="inlineStr">
        <is>
          <t>Funcional</t>
        </is>
      </c>
      <c r="D83" s="14" t="inlineStr">
        <is>
          <t>Submeter</t>
        </is>
      </c>
      <c r="E83" s="14" t="inlineStr">
        <is>
          <t>Coberto</t>
        </is>
      </c>
      <c r="F83" s="14" t="inlineStr">
        <is>
          <t>API (pytest) + Navegador</t>
        </is>
      </c>
      <c r="G83" s="14" t="inlineStr">
        <is>
          <t>test_tcc.py::test_ct_03_03_01_e_03_03_06_e_03_04_01_submissao_gera_protocolo_unico_e_repetir_nao_duplica</t>
        </is>
      </c>
      <c r="H83" s="14" t="inlineStr">
        <is>
          <t>Aprovado</t>
        </is>
      </c>
      <c r="I83" s="14" t="inlineStr">
        <is>
          <t>Aprovado</t>
        </is>
      </c>
      <c r="J83" s="14" t="inlineStr">
        <is>
          <t>Aprovado</t>
        </is>
      </c>
      <c r="K83" s="14" t="inlineStr">
        <is>
          <t>—</t>
        </is>
      </c>
      <c r="L83" s="14" t="inlineStr">
        <is>
          <t>Aprovado</t>
        </is>
      </c>
      <c r="M83" s="14" t="inlineStr">
        <is>
          <t>junit-sqlite.xml; junit-postgresql.xml; e2e-cadastro_tcc.log</t>
        </is>
      </c>
      <c r="N83" s="14" t="inlineStr">
        <is>
          <t>histórico registra a submissão (RNF03)</t>
        </is>
      </c>
      <c r="O83" s="14" t="inlineStr">
        <is>
          <t>—</t>
        </is>
      </c>
    </row>
    <row r="84">
      <c r="A84" s="14" t="inlineStr">
        <is>
          <t>RBN03.03</t>
        </is>
      </c>
      <c r="B84" s="14" t="inlineStr">
        <is>
          <t>CT-03.03-02</t>
        </is>
      </c>
      <c r="C84" s="14" t="inlineStr">
        <is>
          <t>Negativo</t>
        </is>
      </c>
      <c r="D84" s="14" t="inlineStr">
        <is>
          <t>Submeter</t>
        </is>
      </c>
      <c r="E84" s="14" t="inlineStr">
        <is>
          <t>Coberto</t>
        </is>
      </c>
      <c r="F84" s="14" t="inlineStr">
        <is>
          <t>API (pytest)</t>
        </is>
      </c>
      <c r="G84" s="14" t="inlineStr">
        <is>
          <t>test_tcc.py::test_ct_03_03_02_campos_obrigatorios</t>
        </is>
      </c>
      <c r="H84" s="14" t="inlineStr">
        <is>
          <t>Aprovado</t>
        </is>
      </c>
      <c r="I84" s="14" t="inlineStr">
        <is>
          <t>Aprovado</t>
        </is>
      </c>
      <c r="J84" s="14" t="inlineStr">
        <is>
          <t>—</t>
        </is>
      </c>
      <c r="K84" s="14" t="inlineStr">
        <is>
          <t>—</t>
        </is>
      </c>
      <c r="L84" s="14" t="inlineStr">
        <is>
          <t>Aprovado</t>
        </is>
      </c>
      <c r="M84" s="14" t="inlineStr">
        <is>
          <t>junit-sqlite.xml; junit-postgresql.xml</t>
        </is>
      </c>
      <c r="N84" s="14" t="inlineStr">
        <is>
          <t>—</t>
        </is>
      </c>
      <c r="O84" s="14" t="inlineStr">
        <is>
          <t>—</t>
        </is>
      </c>
    </row>
    <row r="85">
      <c r="A85" s="14" t="inlineStr">
        <is>
          <t>RBN03.03</t>
        </is>
      </c>
      <c r="B85" s="14" t="inlineStr">
        <is>
          <t>CT-03.03-03</t>
        </is>
      </c>
      <c r="C85" s="14" t="inlineStr">
        <is>
          <t>Negativo</t>
        </is>
      </c>
      <c r="D85" s="14" t="inlineStr">
        <is>
          <t>Submeter</t>
        </is>
      </c>
      <c r="E85" s="14" t="inlineStr">
        <is>
          <t>Coberto</t>
        </is>
      </c>
      <c r="F85" s="14" t="inlineStr">
        <is>
          <t>API (pytest)</t>
        </is>
      </c>
      <c r="G85" s="14" t="inlineStr">
        <is>
          <t>test_tcc.py::test_ct_03_03_03_desistente_nao_submete</t>
        </is>
      </c>
      <c r="H85" s="14" t="inlineStr">
        <is>
          <t>Aprovado</t>
        </is>
      </c>
      <c r="I85" s="14" t="inlineStr">
        <is>
          <t>Aprovado</t>
        </is>
      </c>
      <c r="J85" s="14" t="inlineStr">
        <is>
          <t>—</t>
        </is>
      </c>
      <c r="K85" s="14" t="inlineStr">
        <is>
          <t>—</t>
        </is>
      </c>
      <c r="L85" s="14" t="inlineStr">
        <is>
          <t>Aprovado</t>
        </is>
      </c>
      <c r="M85" s="14" t="inlineStr">
        <is>
          <t>junit-sqlite.xml; junit-postgresql.xml</t>
        </is>
      </c>
      <c r="N85" s="14" t="inlineStr">
        <is>
          <t>—</t>
        </is>
      </c>
      <c r="O85" s="14" t="inlineStr">
        <is>
          <t>—</t>
        </is>
      </c>
    </row>
    <row r="86">
      <c r="A86" s="14" t="inlineStr">
        <is>
          <t>RBN03.03</t>
        </is>
      </c>
      <c r="B86" s="14" t="inlineStr">
        <is>
          <t>CT-03.03-04</t>
        </is>
      </c>
      <c r="C86" s="14" t="inlineStr">
        <is>
          <t>Funcional</t>
        </is>
      </c>
      <c r="D86" s="14" t="inlineStr">
        <is>
          <t>Submeter novamente</t>
        </is>
      </c>
      <c r="E86" s="14" t="inlineStr">
        <is>
          <t>Coberto</t>
        </is>
      </c>
      <c r="F86" s="14" t="inlineStr">
        <is>
          <t>API (pytest)</t>
        </is>
      </c>
      <c r="G86" s="14" t="inlineStr">
        <is>
          <t>test_cts_complementares.py::test_ct_03_03_04_aluno_incluido_na_turma_passa_a_poder_submeter</t>
        </is>
      </c>
      <c r="H86" s="14" t="inlineStr">
        <is>
          <t>Aprovado</t>
        </is>
      </c>
      <c r="I86" s="14" t="inlineStr">
        <is>
          <t>Aprovado</t>
        </is>
      </c>
      <c r="J86" s="14" t="inlineStr">
        <is>
          <t>—</t>
        </is>
      </c>
      <c r="K86" s="14" t="inlineStr">
        <is>
          <t>—</t>
        </is>
      </c>
      <c r="L86" s="14" t="inlineStr">
        <is>
          <t>Aprovado</t>
        </is>
      </c>
      <c r="M86" s="14" t="inlineStr">
        <is>
          <t>junit-sqlite.xml; junit-postgresql.xml</t>
        </is>
      </c>
      <c r="N86" s="14" t="inlineStr">
        <is>
          <t>—</t>
        </is>
      </c>
      <c r="O86" s="14" t="inlineStr">
        <is>
          <t>—</t>
        </is>
      </c>
    </row>
    <row r="87">
      <c r="A87" s="14" t="inlineStr">
        <is>
          <t>RBN03.03</t>
        </is>
      </c>
      <c r="B87" s="14" t="inlineStr">
        <is>
          <t>CT-03.03-05</t>
        </is>
      </c>
      <c r="C87" s="14" t="inlineStr">
        <is>
          <t>Funcional</t>
        </is>
      </c>
      <c r="D87" s="14" t="inlineStr">
        <is>
          <t>Submeter</t>
        </is>
      </c>
      <c r="E87" s="14" t="inlineStr">
        <is>
          <t>Coberto</t>
        </is>
      </c>
      <c r="F87" s="14" t="inlineStr">
        <is>
          <t>API (pytest)</t>
        </is>
      </c>
      <c r="G87" s="14" t="inlineStr">
        <is>
          <t>test_tcc.py::test_ct_03_03_01_e_03_03_06_e_03_04_01_submissao_gera_protocolo_unico_e_repetir_nao_duplica</t>
        </is>
      </c>
      <c r="H87" s="14" t="inlineStr">
        <is>
          <t>Aprovado</t>
        </is>
      </c>
      <c r="I87" s="14" t="inlineStr">
        <is>
          <t>Aprovado</t>
        </is>
      </c>
      <c r="J87" s="14" t="inlineStr">
        <is>
          <t>—</t>
        </is>
      </c>
      <c r="K87" s="14" t="inlineStr">
        <is>
          <t>—</t>
        </is>
      </c>
      <c r="L87" s="14" t="inlineStr">
        <is>
          <t>Aprovado</t>
        </is>
      </c>
      <c r="M87" s="14" t="inlineStr">
        <is>
          <t>junit-sqlite.xml; junit-postgresql.xml</t>
        </is>
      </c>
      <c r="N87" s="14" t="inlineStr">
        <is>
          <t>—</t>
        </is>
      </c>
      <c r="O87" s="14" t="inlineStr">
        <is>
          <t>—</t>
        </is>
      </c>
    </row>
    <row r="88">
      <c r="A88" s="14" t="inlineStr">
        <is>
          <t>RBN03.03</t>
        </is>
      </c>
      <c r="B88" s="14" t="inlineStr">
        <is>
          <t>CT-03.03-06</t>
        </is>
      </c>
      <c r="C88" s="14" t="inlineStr">
        <is>
          <t>Resiliência</t>
        </is>
      </c>
      <c r="D88" s="14" t="inlineStr">
        <is>
          <t>Duplo clique em "Enviar"</t>
        </is>
      </c>
      <c r="E88" s="14" t="inlineStr">
        <is>
          <t>Coberto</t>
        </is>
      </c>
      <c r="F88" s="14" t="inlineStr">
        <is>
          <t>API (pytest)</t>
        </is>
      </c>
      <c r="G88" s="14" t="inlineStr">
        <is>
          <t>test_tcc.py::test_ct_03_03_01_e_03_03_06_e_03_04_01_submissao_gera_protocolo_unico_e_repetir_nao_duplica</t>
        </is>
      </c>
      <c r="H88" s="14" t="inlineStr">
        <is>
          <t>Aprovado</t>
        </is>
      </c>
      <c r="I88" s="14" t="inlineStr">
        <is>
          <t>Aprovado</t>
        </is>
      </c>
      <c r="J88" s="14" t="inlineStr">
        <is>
          <t>—</t>
        </is>
      </c>
      <c r="K88" s="14" t="inlineStr">
        <is>
          <t>—</t>
        </is>
      </c>
      <c r="L88" s="14" t="inlineStr">
        <is>
          <t>Aprovado</t>
        </is>
      </c>
      <c r="M88" s="14" t="inlineStr">
        <is>
          <t>junit-sqlite.xml; junit-postgresql.xml</t>
        </is>
      </c>
      <c r="N88" s="14" t="inlineStr">
        <is>
          <t>—</t>
        </is>
      </c>
      <c r="O88" s="14" t="inlineStr">
        <is>
          <t>—</t>
        </is>
      </c>
    </row>
    <row r="89">
      <c r="A89" s="14" t="inlineStr">
        <is>
          <t>RBN03.03</t>
        </is>
      </c>
      <c r="B89" s="14" t="inlineStr">
        <is>
          <t>CT-03.03-07</t>
        </is>
      </c>
      <c r="C89" s="14" t="inlineStr">
        <is>
          <t>Desempenho</t>
        </is>
      </c>
      <c r="D89" s="14" t="inlineStr">
        <is>
          <t>Teste de carga</t>
        </is>
      </c>
      <c r="E89" s="14" t="inlineStr">
        <is>
          <t>Manual</t>
        </is>
      </c>
      <c r="F89" s="14" t="inlineStr">
        <is>
          <t>Carga</t>
        </is>
      </c>
      <c r="G89" s="14" t="inlineStr">
        <is>
          <t>—</t>
        </is>
      </c>
      <c r="H89" s="14" t="inlineStr">
        <is>
          <t>—</t>
        </is>
      </c>
      <c r="I89" s="14" t="inlineStr">
        <is>
          <t>—</t>
        </is>
      </c>
      <c r="J89" s="14" t="inlineStr">
        <is>
          <t>—</t>
        </is>
      </c>
      <c r="K89" s="14" t="inlineStr">
        <is>
          <t>Aprovado</t>
        </is>
      </c>
      <c r="L89" s="14" t="inlineStr">
        <is>
          <t>Aprovado</t>
        </is>
      </c>
      <c r="M89" s="14" t="inlineStr">
        <is>
          <t>carga-rnf01.log</t>
        </is>
      </c>
      <c r="N89" s="14" t="inlineStr">
        <is>
          <t>—</t>
        </is>
      </c>
      <c r="O89" s="14" t="inlineStr">
        <is>
          <t>Manual: teste de carga com 30 usuários (p95 ≤ 3 s) em ambiente à parte. 30 submissões simultâneas: p95 0,73 s (meta 3 s), 30 protocolos distintos.</t>
        </is>
      </c>
    </row>
    <row r="90">
      <c r="A90" s="14" t="inlineStr">
        <is>
          <t>RBN03.03</t>
        </is>
      </c>
      <c r="B90" s="14" t="inlineStr">
        <is>
          <t>CT-03.03-08</t>
        </is>
      </c>
      <c r="C90" s="14" t="inlineStr">
        <is>
          <t>Integração</t>
        </is>
      </c>
      <c r="D90" s="14" t="inlineStr">
        <is>
          <t>Submeter</t>
        </is>
      </c>
      <c r="E90" s="14" t="inlineStr">
        <is>
          <t>Parcial</t>
        </is>
      </c>
      <c r="F90" s="14" t="inlineStr">
        <is>
          <t>API (pytest) + Navegador</t>
        </is>
      </c>
      <c r="G90" s="14" t="inlineStr">
        <is>
          <t>test_tcc.py::test_ct_03_03_01_e_03_03_06_e_03_04_01_submissao_gera_protocolo_unico_e_repetir_nao_duplica</t>
        </is>
      </c>
      <c r="H90" s="14" t="inlineStr">
        <is>
          <t>Aprovado</t>
        </is>
      </c>
      <c r="I90" s="14" t="inlineStr">
        <is>
          <t>Aprovado</t>
        </is>
      </c>
      <c r="J90" s="14" t="inlineStr">
        <is>
          <t>Aprovado</t>
        </is>
      </c>
      <c r="K90" s="14" t="inlineStr">
        <is>
          <t>—</t>
        </is>
      </c>
      <c r="L90" s="14" t="inlineStr">
        <is>
          <t>Aprovado</t>
        </is>
      </c>
      <c r="M90" s="14" t="inlineStr">
        <is>
          <t>junit-sqlite.xml; junit-postgresql.xml; e2e-cadastro_tcc.log; telas/cadastro-5-protocolo.png</t>
        </is>
      </c>
      <c r="N90" s="14" t="inlineStr">
        <is>
          <t>protocolo único gerado: TCC-2026-00001 (RBN03.04)</t>
        </is>
      </c>
      <c r="O90" s="14" t="inlineStr">
        <is>
          <t>Via API; o clique na tela é manual. Parte de tela executada no navegador nesta rodada.</t>
        </is>
      </c>
    </row>
    <row r="91">
      <c r="A91" s="14" t="inlineStr">
        <is>
          <t>RBN03.04</t>
        </is>
      </c>
      <c r="B91" s="14" t="inlineStr">
        <is>
          <t>CT-03.04-01</t>
        </is>
      </c>
      <c r="C91" s="14" t="inlineStr">
        <is>
          <t>Funcional</t>
        </is>
      </c>
      <c r="D91" s="14" t="inlineStr">
        <is>
          <t>Submeter</t>
        </is>
      </c>
      <c r="E91" s="14" t="inlineStr">
        <is>
          <t>Coberto</t>
        </is>
      </c>
      <c r="F91" s="14" t="inlineStr">
        <is>
          <t>API (pytest) + Navegador</t>
        </is>
      </c>
      <c r="G91" s="14" t="inlineStr">
        <is>
          <t>test_tcc.py::test_ct_03_03_01_e_03_03_06_e_03_04_01_submissao_gera_protocolo_unico_e_repetir_nao_duplica</t>
        </is>
      </c>
      <c r="H91" s="14" t="inlineStr">
        <is>
          <t>Aprovado</t>
        </is>
      </c>
      <c r="I91" s="14" t="inlineStr">
        <is>
          <t>Aprovado</t>
        </is>
      </c>
      <c r="J91" s="14" t="inlineStr">
        <is>
          <t>Aprovado</t>
        </is>
      </c>
      <c r="K91" s="14" t="inlineStr">
        <is>
          <t>—</t>
        </is>
      </c>
      <c r="L91" s="14" t="inlineStr">
        <is>
          <t>Aprovado</t>
        </is>
      </c>
      <c r="M91" s="14" t="inlineStr">
        <is>
          <t>junit-sqlite.xml; junit-postgresql.xml; e2e-cadastro_tcc.log</t>
        </is>
      </c>
      <c r="N91" s="14" t="inlineStr">
        <is>
          <t>protocolo único gerado: TCC-2026-00001 (RBN03.04)</t>
        </is>
      </c>
      <c r="O91" s="14" t="inlineStr">
        <is>
          <t>—</t>
        </is>
      </c>
    </row>
    <row r="92">
      <c r="A92" s="14" t="inlineStr">
        <is>
          <t>RBN03.04</t>
        </is>
      </c>
      <c r="B92" s="14" t="inlineStr">
        <is>
          <t>CT-03.04-02</t>
        </is>
      </c>
      <c r="C92" s="14" t="inlineStr">
        <is>
          <t>Funcional</t>
        </is>
      </c>
      <c r="D92" s="14" t="inlineStr">
        <is>
          <t>Consultar TCC</t>
        </is>
      </c>
      <c r="E92" s="14" t="inlineStr">
        <is>
          <t>Coberto</t>
        </is>
      </c>
      <c r="F92" s="14" t="inlineStr">
        <is>
          <t>API (pytest) + Navegador</t>
        </is>
      </c>
      <c r="G92" s="14" t="inlineStr">
        <is>
          <t>test_tcc.py::test_ct_03_01_04_e_03_04_02_e_06_01_01_rascunho_sem_protocolo_e_vinculo_pendente</t>
        </is>
      </c>
      <c r="H92" s="14" t="inlineStr">
        <is>
          <t>Aprovado</t>
        </is>
      </c>
      <c r="I92" s="14" t="inlineStr">
        <is>
          <t>Aprovado</t>
        </is>
      </c>
      <c r="J92" s="14" t="inlineStr">
        <is>
          <t>Aprovado</t>
        </is>
      </c>
      <c r="K92" s="14" t="inlineStr">
        <is>
          <t>—</t>
        </is>
      </c>
      <c r="L92" s="14" t="inlineStr">
        <is>
          <t>Aprovado</t>
        </is>
      </c>
      <c r="M92" s="14" t="inlineStr">
        <is>
          <t>junit-sqlite.xml; junit-postgresql.xml; e2e-salvar_rascunho.log</t>
        </is>
      </c>
      <c r="N92" s="14" t="inlineStr">
        <is>
          <t>rascunho aparece na lista, sem protocolo (CA-03)</t>
        </is>
      </c>
      <c r="O92" s="14" t="inlineStr">
        <is>
          <t>—</t>
        </is>
      </c>
    </row>
    <row r="93">
      <c r="A93" s="14" t="inlineStr">
        <is>
          <t>RBN03.04</t>
        </is>
      </c>
      <c r="B93" s="14" t="inlineStr">
        <is>
          <t>CT-03.04-03</t>
        </is>
      </c>
      <c r="C93" s="14" t="inlineStr">
        <is>
          <t>Resiliência</t>
        </is>
      </c>
      <c r="D93" s="14" t="inlineStr">
        <is>
          <t>Reenviar a mesma requisição</t>
        </is>
      </c>
      <c r="E93" s="14" t="inlineStr">
        <is>
          <t>Coberto</t>
        </is>
      </c>
      <c r="F93" s="14" t="inlineStr">
        <is>
          <t>API (pytest)</t>
        </is>
      </c>
      <c r="G93" s="14" t="inlineStr">
        <is>
          <t>test_tcc.py::test_ct_03_03_01_e_03_03_06_e_03_04_01_submissao_gera_protocolo_unico_e_repetir_nao_duplica</t>
        </is>
      </c>
      <c r="H93" s="14" t="inlineStr">
        <is>
          <t>Aprovado</t>
        </is>
      </c>
      <c r="I93" s="14" t="inlineStr">
        <is>
          <t>Aprovado</t>
        </is>
      </c>
      <c r="J93" s="14" t="inlineStr">
        <is>
          <t>—</t>
        </is>
      </c>
      <c r="K93" s="14" t="inlineStr">
        <is>
          <t>—</t>
        </is>
      </c>
      <c r="L93" s="14" t="inlineStr">
        <is>
          <t>Aprovado</t>
        </is>
      </c>
      <c r="M93" s="14" t="inlineStr">
        <is>
          <t>junit-sqlite.xml; junit-postgresql.xml</t>
        </is>
      </c>
      <c r="N93" s="14" t="inlineStr">
        <is>
          <t>—</t>
        </is>
      </c>
      <c r="O93" s="14" t="inlineStr">
        <is>
          <t>—</t>
        </is>
      </c>
    </row>
    <row r="94">
      <c r="A94" s="14" t="inlineStr">
        <is>
          <t>RBN03.04</t>
        </is>
      </c>
      <c r="B94" s="14" t="inlineStr">
        <is>
          <t>CT-03.04-04</t>
        </is>
      </c>
      <c r="C94" s="14" t="inlineStr">
        <is>
          <t>Negativo</t>
        </is>
      </c>
      <c r="D94" s="14" t="inlineStr">
        <is>
          <t>Nova submissão do mesmo aluno</t>
        </is>
      </c>
      <c r="E94" s="14" t="inlineStr">
        <is>
          <t>Coberto</t>
        </is>
      </c>
      <c r="F94" s="14" t="inlineStr">
        <is>
          <t>API (pytest) + Navegador</t>
        </is>
      </c>
      <c r="G94" s="14" t="inlineStr">
        <is>
          <t>test_tcc.py::test_ct_03_04_04_um_cadastro_por_periodo</t>
        </is>
      </c>
      <c r="H94" s="14" t="inlineStr">
        <is>
          <t>Aprovado</t>
        </is>
      </c>
      <c r="I94" s="14" t="inlineStr">
        <is>
          <t>Aprovado</t>
        </is>
      </c>
      <c r="J94" s="14" t="inlineStr">
        <is>
          <t>Aprovado</t>
        </is>
      </c>
      <c r="K94" s="14" t="inlineStr">
        <is>
          <t>—</t>
        </is>
      </c>
      <c r="L94" s="14" t="inlineStr">
        <is>
          <t>Aprovado</t>
        </is>
      </c>
      <c r="M94" s="14" t="inlineStr">
        <is>
          <t>junit-sqlite.xml; junit-postgresql.xml; e2e-cadastro_tcc.log</t>
        </is>
      </c>
      <c r="N94" s="14" t="inlineStr">
        <is>
          <t>sem botão de novo cadastro: um TCC por período (RN04)</t>
        </is>
      </c>
      <c r="O94" s="14" t="inlineStr">
        <is>
          <t>—</t>
        </is>
      </c>
    </row>
    <row r="95">
      <c r="A95" s="14" t="inlineStr">
        <is>
          <t>RBN03.04</t>
        </is>
      </c>
      <c r="B95" s="14" t="inlineStr">
        <is>
          <t>CT-03.04-05</t>
        </is>
      </c>
      <c r="C95" s="14" t="inlineStr">
        <is>
          <t>Concorrência</t>
        </is>
      </c>
      <c r="D95" s="14" t="inlineStr">
        <is>
          <t>Submissões simultâneas</t>
        </is>
      </c>
      <c r="E95" s="14" t="inlineStr">
        <is>
          <t>Coberto</t>
        </is>
      </c>
      <c r="F95" s="14" t="inlineStr">
        <is>
          <t>API (pytest) + Carga</t>
        </is>
      </c>
      <c r="G95" s="14" t="inlineStr">
        <is>
          <t>test_cts_complementares.py::test_ct_03_04_05_submissoes_simultaneas_geram_protocolos_distintos</t>
        </is>
      </c>
      <c r="H95" s="14" t="inlineStr">
        <is>
          <t>Aprovado</t>
        </is>
      </c>
      <c r="I95" s="14" t="inlineStr">
        <is>
          <t>Aprovado</t>
        </is>
      </c>
      <c r="J95" s="14" t="inlineStr">
        <is>
          <t>—</t>
        </is>
      </c>
      <c r="K95" s="14" t="inlineStr">
        <is>
          <t>Aprovado</t>
        </is>
      </c>
      <c r="L95" s="14" t="inlineStr">
        <is>
          <t>Aprovado</t>
        </is>
      </c>
      <c r="M95" s="14" t="inlineStr">
        <is>
          <t>junit-sqlite.xml; junit-postgresql.xml; carga-rnf01.log</t>
        </is>
      </c>
      <c r="N95" s="14" t="inlineStr">
        <is>
          <t>—</t>
        </is>
      </c>
      <c r="O95" s="14" t="inlineStr">
        <is>
          <t>30 submissões simultâneas: p95 0,73 s (meta 3 s), 30 protocolos distintos.</t>
        </is>
      </c>
    </row>
    <row r="96">
      <c r="A96" s="14" t="inlineStr">
        <is>
          <t>RBN03.04</t>
        </is>
      </c>
      <c r="B96" s="14" t="inlineStr">
        <is>
          <t>CT-03.04-06</t>
        </is>
      </c>
      <c r="C96" s="14" t="inlineStr">
        <is>
          <t>Auditoria</t>
        </is>
      </c>
      <c r="D96" s="14" t="inlineStr">
        <is>
          <t>Consultar log</t>
        </is>
      </c>
      <c r="E96" s="14" t="inlineStr">
        <is>
          <t>Coberto</t>
        </is>
      </c>
      <c r="F96" s="14" t="inlineStr">
        <is>
          <t>API (pytest)</t>
        </is>
      </c>
      <c r="G96" s="14" t="inlineStr">
        <is>
          <t>test_tcc.py::test_ct_03_03_01_e_03_03_06_e_03_04_01_submissao_gera_protocolo_unico_e_repetir_nao_duplica</t>
        </is>
      </c>
      <c r="H96" s="14" t="inlineStr">
        <is>
          <t>Aprovado</t>
        </is>
      </c>
      <c r="I96" s="14" t="inlineStr">
        <is>
          <t>Aprovado</t>
        </is>
      </c>
      <c r="J96" s="14" t="inlineStr">
        <is>
          <t>—</t>
        </is>
      </c>
      <c r="K96" s="14" t="inlineStr">
        <is>
          <t>—</t>
        </is>
      </c>
      <c r="L96" s="14" t="inlineStr">
        <is>
          <t>Aprovado</t>
        </is>
      </c>
      <c r="M96" s="14" t="inlineStr">
        <is>
          <t>junit-sqlite.xml; junit-postgresql.xml</t>
        </is>
      </c>
      <c r="N96" s="14" t="inlineStr">
        <is>
          <t>—</t>
        </is>
      </c>
      <c r="O96" s="14" t="inlineStr">
        <is>
          <t>—</t>
        </is>
      </c>
    </row>
    <row r="97">
      <c r="A97" s="14" t="inlineStr">
        <is>
          <t>RBN03.04</t>
        </is>
      </c>
      <c r="B97" s="14" t="inlineStr">
        <is>
          <t>CT-03.04-07</t>
        </is>
      </c>
      <c r="C97" s="14" t="inlineStr">
        <is>
          <t>Integração</t>
        </is>
      </c>
      <c r="D97" s="14" t="inlineStr">
        <is>
          <t>Submeter pela tela</t>
        </is>
      </c>
      <c r="E97" s="14" t="inlineStr">
        <is>
          <t>Manual</t>
        </is>
      </c>
      <c r="F97" s="14" t="inlineStr">
        <is>
          <t>Navegador</t>
        </is>
      </c>
      <c r="G97" s="14" t="inlineStr">
        <is>
          <t>—</t>
        </is>
      </c>
      <c r="H97" s="14" t="inlineStr">
        <is>
          <t>—</t>
        </is>
      </c>
      <c r="I97" s="14" t="inlineStr">
        <is>
          <t>—</t>
        </is>
      </c>
      <c r="J97" s="14" t="inlineStr">
        <is>
          <t>Aprovado</t>
        </is>
      </c>
      <c r="K97" s="14" t="inlineStr">
        <is>
          <t>—</t>
        </is>
      </c>
      <c r="L97" s="14" t="inlineStr">
        <is>
          <t>Aprovado</t>
        </is>
      </c>
      <c r="M97" s="14" t="inlineStr">
        <is>
          <t>e2e-cadastro_tcc.log; telas/cadastro-5-protocolo.png; telas/cadastro-6-acompanhamento.png</t>
        </is>
      </c>
      <c r="N97" s="14" t="inlineStr">
        <is>
          <t>protocolo único gerado: TCC-2026-00001 (RBN03.04)</t>
        </is>
      </c>
      <c r="O97" s="14" t="inlineStr">
        <is>
          <t>Manual: submeter pela tela e conferir protocolo e dados. Parte de tela executada no navegador nesta rodada.</t>
        </is>
      </c>
    </row>
    <row r="98">
      <c r="A98" s="14" t="inlineStr">
        <is>
          <t>RBN06.01</t>
        </is>
      </c>
      <c r="B98" s="14" t="inlineStr">
        <is>
          <t>CT-06.01-01</t>
        </is>
      </c>
      <c r="C98" s="14" t="inlineStr">
        <is>
          <t>Funcional</t>
        </is>
      </c>
      <c r="D98" s="14" t="inlineStr">
        <is>
          <t>Selecionar no cadastro</t>
        </is>
      </c>
      <c r="E98" s="14" t="inlineStr">
        <is>
          <t>Coberto</t>
        </is>
      </c>
      <c r="F98" s="14" t="inlineStr">
        <is>
          <t>API (pytest) + Navegador</t>
        </is>
      </c>
      <c r="G98" s="14" t="inlineStr">
        <is>
          <t>test_tcc.py::test_ct_03_01_04_e_03_04_02_e_06_01_01_rascunho_sem_protocolo_e_vinculo_pendente</t>
        </is>
      </c>
      <c r="H98" s="14" t="inlineStr">
        <is>
          <t>Aprovado</t>
        </is>
      </c>
      <c r="I98" s="14" t="inlineStr">
        <is>
          <t>Aprovado</t>
        </is>
      </c>
      <c r="J98" s="14" t="inlineStr">
        <is>
          <t>Aprovado</t>
        </is>
      </c>
      <c r="K98" s="14" t="inlineStr">
        <is>
          <t>—</t>
        </is>
      </c>
      <c r="L98" s="14" t="inlineStr">
        <is>
          <t>Aprovado</t>
        </is>
      </c>
      <c r="M98" s="14" t="inlineStr">
        <is>
          <t>junit-sqlite.xml; junit-postgresql.xml; e2e-cadastro_tcc.log; telas/cadastro-4-orientacoes.png</t>
        </is>
      </c>
      <c r="N98" s="14" t="inlineStr">
        <is>
          <t>orientador aceitou a orientação</t>
        </is>
      </c>
      <c r="O98" s="14" t="inlineStr">
        <is>
          <t>—</t>
        </is>
      </c>
    </row>
    <row r="99">
      <c r="A99" s="14" t="inlineStr">
        <is>
          <t>RBN06.01</t>
        </is>
      </c>
      <c r="B99" s="14" t="inlineStr">
        <is>
          <t>CT-06.01-02</t>
        </is>
      </c>
      <c r="C99" s="14" t="inlineStr">
        <is>
          <t>Funcional</t>
        </is>
      </c>
      <c r="D99" s="14" t="inlineStr">
        <is>
          <t>Abrir lista</t>
        </is>
      </c>
      <c r="E99" s="14" t="inlineStr">
        <is>
          <t>Coberto</t>
        </is>
      </c>
      <c r="F99" s="14" t="inlineStr">
        <is>
          <t>API (pytest)</t>
        </is>
      </c>
      <c r="G99" s="14" t="inlineStr">
        <is>
          <t>test_cts_complementares.py::test_ct_06_01_02_orientador_inativo_nao_aparece_na_lista</t>
        </is>
      </c>
      <c r="H99" s="14" t="inlineStr">
        <is>
          <t>Aprovado</t>
        </is>
      </c>
      <c r="I99" s="14" t="inlineStr">
        <is>
          <t>Aprovado</t>
        </is>
      </c>
      <c r="J99" s="14" t="inlineStr">
        <is>
          <t>—</t>
        </is>
      </c>
      <c r="K99" s="14" t="inlineStr">
        <is>
          <t>—</t>
        </is>
      </c>
      <c r="L99" s="14" t="inlineStr">
        <is>
          <t>Aprovado</t>
        </is>
      </c>
      <c r="M99" s="14" t="inlineStr">
        <is>
          <t>junit-sqlite.xml; junit-postgresql.xml</t>
        </is>
      </c>
      <c r="N99" s="14" t="inlineStr">
        <is>
          <t>—</t>
        </is>
      </c>
      <c r="O99" s="14" t="inlineStr">
        <is>
          <t>—</t>
        </is>
      </c>
    </row>
    <row r="100">
      <c r="A100" s="14" t="inlineStr">
        <is>
          <t>RBN06.01</t>
        </is>
      </c>
      <c r="B100" s="14" t="inlineStr">
        <is>
          <t>CT-06.01-03</t>
        </is>
      </c>
      <c r="C100" s="14" t="inlineStr">
        <is>
          <t>Negativo</t>
        </is>
      </c>
      <c r="D100" s="14" t="inlineStr">
        <is>
          <t>Submeter</t>
        </is>
      </c>
      <c r="E100" s="14" t="inlineStr">
        <is>
          <t>Coberto</t>
        </is>
      </c>
      <c r="F100" s="14" t="inlineStr">
        <is>
          <t>API (pytest) + Navegador</t>
        </is>
      </c>
      <c r="G100" s="14" t="inlineStr">
        <is>
          <t>test_cts_complementares.py::test_ct_06_01_03_nao_submete_sem_orientador</t>
        </is>
      </c>
      <c r="H100" s="14" t="inlineStr">
        <is>
          <t>Aprovado</t>
        </is>
      </c>
      <c r="I100" s="14" t="inlineStr">
        <is>
          <t>Aprovado</t>
        </is>
      </c>
      <c r="J100" s="14" t="inlineStr">
        <is>
          <t>Aprovado</t>
        </is>
      </c>
      <c r="K100" s="14" t="inlineStr">
        <is>
          <t>—</t>
        </is>
      </c>
      <c r="L100" s="14" t="inlineStr">
        <is>
          <t>Aprovado</t>
        </is>
      </c>
      <c r="M100" s="14" t="inlineStr">
        <is>
          <t>junit-sqlite.xml; junit-postgresql.xml; e2e-cadastro_tcc.log; telas/cadastro-3-revisar-pendente.png</t>
        </is>
      </c>
      <c r="N100" s="14" t="inlineStr">
        <is>
          <t>envio bloqueado enquanto há pendências</t>
        </is>
      </c>
      <c r="O100" s="14" t="inlineStr">
        <is>
          <t>—</t>
        </is>
      </c>
    </row>
    <row r="101">
      <c r="A101" s="14" t="inlineStr">
        <is>
          <t>RBN06.01</t>
        </is>
      </c>
      <c r="B101" s="14" t="inlineStr">
        <is>
          <t>CT-06.01-04</t>
        </is>
      </c>
      <c r="C101" s="14" t="inlineStr">
        <is>
          <t>Funcional</t>
        </is>
      </c>
      <c r="D101" s="14" t="inlineStr">
        <is>
          <t>Substituir orientador</t>
        </is>
      </c>
      <c r="E101" s="14" t="inlineStr">
        <is>
          <t>Pendente</t>
        </is>
      </c>
      <c r="F101" s="14" t="inlineStr">
        <is>
          <t>API (pytest)</t>
        </is>
      </c>
      <c r="G101" s="14" t="inlineStr">
        <is>
          <t>test_cts_complementares.py::test_ct_06_01_04_substituir_orientador_preserva_o_historico</t>
        </is>
      </c>
      <c r="H101" s="14" t="inlineStr">
        <is>
          <t>Pulado</t>
        </is>
      </c>
      <c r="I101" s="14" t="inlineStr">
        <is>
          <t>Pulado</t>
        </is>
      </c>
      <c r="J101" s="14" t="inlineStr">
        <is>
          <t>—</t>
        </is>
      </c>
      <c r="K101" s="14" t="inlineStr">
        <is>
          <t>—</t>
        </is>
      </c>
      <c r="L101" s="14" t="inlineStr">
        <is>
          <t>Pendente</t>
        </is>
      </c>
      <c r="M101" s="14" t="inlineStr">
        <is>
          <t>junit-sqlite.xml; junit-postgresql.xml</t>
        </is>
      </c>
      <c r="N101" s="14" t="inlineStr">
        <is>
          <t>—</t>
        </is>
      </c>
      <c r="O101" s="14" t="inlineStr">
        <is>
          <t>Pendente: não existe rota nem tela para a coordenação trocar o orientador após o aceite.</t>
        </is>
      </c>
    </row>
    <row r="102">
      <c r="A102" s="14" t="inlineStr">
        <is>
          <t>RBN06.01</t>
        </is>
      </c>
      <c r="B102" s="14" t="inlineStr">
        <is>
          <t>CT-06.01-05</t>
        </is>
      </c>
      <c r="C102" s="14" t="inlineStr">
        <is>
          <t>Segurança</t>
        </is>
      </c>
      <c r="D102" s="14" t="inlineStr">
        <is>
          <t>Alterar orientação do TCC do aluno A</t>
        </is>
      </c>
      <c r="E102" s="14" t="inlineStr">
        <is>
          <t>Coberto</t>
        </is>
      </c>
      <c r="F102" s="14" t="inlineStr">
        <is>
          <t>API (pytest)</t>
        </is>
      </c>
      <c r="G102" s="14" t="inlineStr">
        <is>
          <t>test_cts_complementares.py::test_ct_06_01_05_aluno_de_outro_cadastro_nao_altera_a_orientacao</t>
        </is>
      </c>
      <c r="H102" s="14" t="inlineStr">
        <is>
          <t>Aprovado</t>
        </is>
      </c>
      <c r="I102" s="14" t="inlineStr">
        <is>
          <t>Aprovado</t>
        </is>
      </c>
      <c r="J102" s="14" t="inlineStr">
        <is>
          <t>—</t>
        </is>
      </c>
      <c r="K102" s="14" t="inlineStr">
        <is>
          <t>—</t>
        </is>
      </c>
      <c r="L102" s="14" t="inlineStr">
        <is>
          <t>Aprovado</t>
        </is>
      </c>
      <c r="M102" s="14" t="inlineStr">
        <is>
          <t>junit-sqlite.xml; junit-postgresql.xml</t>
        </is>
      </c>
      <c r="N102" s="14" t="inlineStr">
        <is>
          <t>—</t>
        </is>
      </c>
      <c r="O102" s="14" t="inlineStr">
        <is>
          <t>—</t>
        </is>
      </c>
    </row>
    <row r="103">
      <c r="A103" s="14" t="inlineStr">
        <is>
          <t>RBN06.01</t>
        </is>
      </c>
      <c r="B103" s="14" t="inlineStr">
        <is>
          <t>CT-06.01-06</t>
        </is>
      </c>
      <c r="C103" s="14" t="inlineStr">
        <is>
          <t>Auditoria</t>
        </is>
      </c>
      <c r="D103" s="14" t="inlineStr">
        <is>
          <t>Consultar log</t>
        </is>
      </c>
      <c r="E103" s="14" t="inlineStr">
        <is>
          <t>Coberto</t>
        </is>
      </c>
      <c r="F103" s="14" t="inlineStr">
        <is>
          <t>API (pytest)</t>
        </is>
      </c>
      <c r="G103" s="14" t="inlineStr">
        <is>
          <t>test_cts_complementares.py::test_ct_06_01_06_vinculo_de_orientacao_fica_no_log</t>
        </is>
      </c>
      <c r="H103" s="14" t="inlineStr">
        <is>
          <t>Aprovado</t>
        </is>
      </c>
      <c r="I103" s="14" t="inlineStr">
        <is>
          <t>Aprovado</t>
        </is>
      </c>
      <c r="J103" s="14" t="inlineStr">
        <is>
          <t>—</t>
        </is>
      </c>
      <c r="K103" s="14" t="inlineStr">
        <is>
          <t>—</t>
        </is>
      </c>
      <c r="L103" s="14" t="inlineStr">
        <is>
          <t>Aprovado</t>
        </is>
      </c>
      <c r="M103" s="14" t="inlineStr">
        <is>
          <t>junit-sqlite.xml; junit-postgresql.xml</t>
        </is>
      </c>
      <c r="N103" s="14" t="inlineStr">
        <is>
          <t>—</t>
        </is>
      </c>
      <c r="O103" s="14" t="inlineStr">
        <is>
          <t>—</t>
        </is>
      </c>
    </row>
  </sheetData>
  <autoFilter ref="A1:O103"/>
  <conditionalFormatting sqref="H2:H103">
    <cfRule type="expression" priority="1" dxfId="0">
      <formula>$H2="Aprovado"</formula>
    </cfRule>
    <cfRule type="expression" priority="2" dxfId="1">
      <formula>$H2="Pendente"</formula>
    </cfRule>
    <cfRule type="expression" priority="3" dxfId="2">
      <formula>$H2="Reprovado"</formula>
    </cfRule>
    <cfRule type="expression" priority="4" dxfId="3">
      <formula>$H2="Não executado"</formula>
    </cfRule>
    <cfRule type="expression" priority="5" dxfId="1">
      <formula>$H2="Pulado"</formula>
    </cfRule>
  </conditionalFormatting>
  <conditionalFormatting sqref="I2:I103">
    <cfRule type="expression" priority="6" dxfId="0">
      <formula>$I2="Aprovado"</formula>
    </cfRule>
    <cfRule type="expression" priority="7" dxfId="1">
      <formula>$I2="Pendente"</formula>
    </cfRule>
    <cfRule type="expression" priority="8" dxfId="2">
      <formula>$I2="Reprovado"</formula>
    </cfRule>
    <cfRule type="expression" priority="9" dxfId="3">
      <formula>$I2="Não executado"</formula>
    </cfRule>
    <cfRule type="expression" priority="10" dxfId="1">
      <formula>$I2="Pulado"</formula>
    </cfRule>
  </conditionalFormatting>
  <conditionalFormatting sqref="J2:J103">
    <cfRule type="expression" priority="11" dxfId="0">
      <formula>$J2="Aprovado"</formula>
    </cfRule>
    <cfRule type="expression" priority="12" dxfId="1">
      <formula>$J2="Pendente"</formula>
    </cfRule>
    <cfRule type="expression" priority="13" dxfId="2">
      <formula>$J2="Reprovado"</formula>
    </cfRule>
    <cfRule type="expression" priority="14" dxfId="3">
      <formula>$J2="Não executado"</formula>
    </cfRule>
    <cfRule type="expression" priority="15" dxfId="1">
      <formula>$J2="Pulado"</formula>
    </cfRule>
  </conditionalFormatting>
  <conditionalFormatting sqref="K2:K103">
    <cfRule type="expression" priority="16" dxfId="0">
      <formula>$K2="Aprovado"</formula>
    </cfRule>
    <cfRule type="expression" priority="17" dxfId="1">
      <formula>$K2="Pendente"</formula>
    </cfRule>
    <cfRule type="expression" priority="18" dxfId="2">
      <formula>$K2="Reprovado"</formula>
    </cfRule>
    <cfRule type="expression" priority="19" dxfId="3">
      <formula>$K2="Não executado"</formula>
    </cfRule>
    <cfRule type="expression" priority="20" dxfId="1">
      <formula>$K2="Pulado"</formula>
    </cfRule>
  </conditionalFormatting>
  <conditionalFormatting sqref="L2:L103">
    <cfRule type="expression" priority="21" dxfId="0">
      <formula>$L2="Aprovado"</formula>
    </cfRule>
    <cfRule type="expression" priority="22" dxfId="1">
      <formula>$L2="Pendente"</formula>
    </cfRule>
    <cfRule type="expression" priority="23" dxfId="2">
      <formula>$L2="Reprovado"</formula>
    </cfRule>
    <cfRule type="expression" priority="24" dxfId="3">
      <formula>$L2="Não executado"</formula>
    </cfRule>
    <cfRule type="expression" priority="25" dxfId="1">
      <formula>$L2="Pulado"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12" customWidth="1" min="3" max="3"/>
    <col width="26" customWidth="1" min="4" max="4"/>
    <col width="12" customWidth="1" min="5" max="5"/>
    <col width="12" customWidth="1" min="6" max="6"/>
    <col width="13" customWidth="1" min="7" max="7"/>
    <col width="13" customWidth="1" min="8" max="8"/>
  </cols>
  <sheetData>
    <row r="1">
      <c r="A1" s="13" t="inlineStr">
        <is>
          <t>Arquivo</t>
        </is>
      </c>
      <c r="B1" s="13" t="inlineStr">
        <is>
          <t>Teste</t>
        </is>
      </c>
      <c r="C1" s="13" t="inlineStr">
        <is>
          <t>Execuções (parâmetros)</t>
        </is>
      </c>
      <c r="D1" s="13" t="inlineStr">
        <is>
          <t>CT(s)</t>
        </is>
      </c>
      <c r="E1" s="13" t="inlineStr">
        <is>
          <t>SQLite</t>
        </is>
      </c>
      <c r="F1" s="13" t="inlineStr">
        <is>
          <t>Tempo SQLite (s)</t>
        </is>
      </c>
      <c r="G1" s="13" t="inlineStr">
        <is>
          <t>PostgreSQL 16</t>
        </is>
      </c>
      <c r="H1" s="13" t="inlineStr">
        <is>
          <t>Tempo PostgreSQL (s)</t>
        </is>
      </c>
    </row>
    <row r="2">
      <c r="A2" s="14" t="inlineStr">
        <is>
          <t>test_acesso.py</t>
        </is>
      </c>
      <c r="B2" s="14" t="inlineStr">
        <is>
          <t>test_ct_01_04_01_e_01_04_06_senha_gravada_com_bcrypt_e_nunca_devolvida</t>
        </is>
      </c>
      <c r="C2" s="14" t="n">
        <v>1</v>
      </c>
      <c r="D2" s="14" t="inlineStr">
        <is>
          <t>CT-01.04-01, CT-01.04-06</t>
        </is>
      </c>
      <c r="E2" s="14" t="inlineStr">
        <is>
          <t>Aprovado</t>
        </is>
      </c>
      <c r="F2" s="14" t="n">
        <v>1.128</v>
      </c>
      <c r="G2" s="14" t="inlineStr">
        <is>
          <t>Aprovado</t>
        </is>
      </c>
      <c r="H2" s="14" t="n">
        <v>0.966</v>
      </c>
    </row>
    <row r="3">
      <c r="A3" s="14" t="inlineStr">
        <is>
          <t>test_acesso.py</t>
        </is>
      </c>
      <c r="B3" s="14" t="inlineStr">
        <is>
          <t>test_ct_01_04_02_a_01_04_04_criterios_da_senha</t>
        </is>
      </c>
      <c r="C3" s="14" t="n">
        <v>7</v>
      </c>
      <c r="D3" s="14" t="inlineStr">
        <is>
          <t>CT-01.04-02, CT-01.04-03, CT-01.04-04</t>
        </is>
      </c>
      <c r="E3" s="14" t="inlineStr">
        <is>
          <t>Aprovado</t>
        </is>
      </c>
      <c r="F3" s="14" t="n">
        <v>4.388</v>
      </c>
      <c r="G3" s="14" t="inlineStr">
        <is>
          <t>Aprovado</t>
        </is>
      </c>
      <c r="H3" s="14" t="n">
        <v>3.963</v>
      </c>
    </row>
    <row r="4">
      <c r="A4" s="14" t="inlineStr">
        <is>
          <t>test_acesso.py</t>
        </is>
      </c>
      <c r="B4" s="14" t="inlineStr">
        <is>
          <t>test_ct_01_04_05_ativacao_recusa_senha_fraca_e_lista_criterios</t>
        </is>
      </c>
      <c r="C4" s="14" t="n">
        <v>1</v>
      </c>
      <c r="D4" s="14" t="inlineStr">
        <is>
          <t>CT-01.04-05</t>
        </is>
      </c>
      <c r="E4" s="14" t="inlineStr">
        <is>
          <t>Aprovado</t>
        </is>
      </c>
      <c r="F4" s="14" t="n">
        <v>0.889</v>
      </c>
      <c r="G4" s="14" t="inlineStr">
        <is>
          <t>Aprovado</t>
        </is>
      </c>
      <c r="H4" s="14" t="n">
        <v>0.849</v>
      </c>
    </row>
    <row r="5">
      <c r="A5" s="14" t="inlineStr">
        <is>
          <t>test_acesso.py</t>
        </is>
      </c>
      <c r="B5" s="14" t="inlineStr">
        <is>
          <t>test_ct_01_05_02_e_01_05_04_link_ativa_a_conta_e_vale_uma_vez</t>
        </is>
      </c>
      <c r="C5" s="14" t="n">
        <v>1</v>
      </c>
      <c r="D5" s="14" t="inlineStr">
        <is>
          <t>CT-01.05-02, CT-01.05-04</t>
        </is>
      </c>
      <c r="E5" s="14" t="inlineStr">
        <is>
          <t>Aprovado</t>
        </is>
      </c>
      <c r="F5" s="14" t="n">
        <v>1.016</v>
      </c>
      <c r="G5" s="14" t="inlineStr">
        <is>
          <t>Aprovado</t>
        </is>
      </c>
      <c r="H5" s="14" t="n">
        <v>0.9330000000000001</v>
      </c>
    </row>
    <row r="6">
      <c r="A6" s="14" t="inlineStr">
        <is>
          <t>test_acesso.py</t>
        </is>
      </c>
      <c r="B6" s="14" t="inlineStr">
        <is>
          <t>test_ct_01_05_03_link_expirado</t>
        </is>
      </c>
      <c r="C6" s="14" t="n">
        <v>1</v>
      </c>
      <c r="D6" s="14" t="inlineStr">
        <is>
          <t>CT-01.05-03</t>
        </is>
      </c>
      <c r="E6" s="14" t="inlineStr">
        <is>
          <t>Aprovado</t>
        </is>
      </c>
      <c r="F6" s="14" t="n">
        <v>1.106</v>
      </c>
      <c r="G6" s="14" t="inlineStr">
        <is>
          <t>Aprovado</t>
        </is>
      </c>
      <c r="H6" s="14" t="n">
        <v>0.748</v>
      </c>
    </row>
    <row r="7">
      <c r="A7" s="14" t="inlineStr">
        <is>
          <t>test_acesso.py</t>
        </is>
      </c>
      <c r="B7" s="14" t="inlineStr">
        <is>
          <t>test_ct_01_05_05_conta_nao_ativada_recebe_a_mesma_mensagem</t>
        </is>
      </c>
      <c r="C7" s="14" t="n">
        <v>1</v>
      </c>
      <c r="D7" s="14" t="inlineStr">
        <is>
          <t>CT-01.05-05</t>
        </is>
      </c>
      <c r="E7" s="14" t="inlineStr">
        <is>
          <t>Aprovado</t>
        </is>
      </c>
      <c r="F7" s="14" t="n">
        <v>0.944</v>
      </c>
      <c r="G7" s="14" t="inlineStr">
        <is>
          <t>Aprovado</t>
        </is>
      </c>
      <c r="H7" s="14" t="n">
        <v>0.871</v>
      </c>
    </row>
    <row r="8">
      <c r="A8" s="14" t="inlineStr">
        <is>
          <t>test_acesso.py</t>
        </is>
      </c>
      <c r="B8" s="14" t="inlineStr">
        <is>
          <t>test_ct_01_05_06_falha_de_email_nao_desfaz_cadastro_e_permite_reenvio</t>
        </is>
      </c>
      <c r="C8" s="14" t="n">
        <v>1</v>
      </c>
      <c r="D8" s="14" t="inlineStr">
        <is>
          <t>CT-01.05-06</t>
        </is>
      </c>
      <c r="E8" s="14" t="inlineStr">
        <is>
          <t>Aprovado</t>
        </is>
      </c>
      <c r="F8" s="14" t="n">
        <v>0.946</v>
      </c>
      <c r="G8" s="14" t="inlineStr">
        <is>
          <t>Aprovado</t>
        </is>
      </c>
      <c r="H8" s="14" t="n">
        <v>0.829</v>
      </c>
    </row>
    <row r="9">
      <c r="A9" s="14" t="inlineStr">
        <is>
          <t>test_acesso.py</t>
        </is>
      </c>
      <c r="B9" s="14" t="inlineStr">
        <is>
          <t>test_ct_01_06_01_login_devolve_usuario_e_cookie_httponly</t>
        </is>
      </c>
      <c r="C9" s="14" t="n">
        <v>1</v>
      </c>
      <c r="D9" s="14" t="inlineStr">
        <is>
          <t>CT-01.06-01</t>
        </is>
      </c>
      <c r="E9" s="14" t="inlineStr">
        <is>
          <t>Aprovado</t>
        </is>
      </c>
      <c r="F9" s="14" t="n">
        <v>0.71</v>
      </c>
      <c r="G9" s="14" t="inlineStr">
        <is>
          <t>Aprovado</t>
        </is>
      </c>
      <c r="H9" s="14" t="n">
        <v>0.709</v>
      </c>
    </row>
    <row r="10">
      <c r="A10" s="14" t="inlineStr">
        <is>
          <t>test_acesso.py</t>
        </is>
      </c>
      <c r="B10" s="14" t="inlineStr">
        <is>
          <t>test_ct_01_06_02_e_01_06_03_mesma_mensagem_para_email_ou_senha_errados</t>
        </is>
      </c>
      <c r="C10" s="14" t="n">
        <v>1</v>
      </c>
      <c r="D10" s="14" t="inlineStr">
        <is>
          <t>CT-01.06-02, CT-01.06-03</t>
        </is>
      </c>
      <c r="E10" s="14" t="inlineStr">
        <is>
          <t>Aprovado</t>
        </is>
      </c>
      <c r="F10" s="14" t="n">
        <v>0.781</v>
      </c>
      <c r="G10" s="14" t="inlineStr">
        <is>
          <t>Aprovado</t>
        </is>
      </c>
      <c r="H10" s="14" t="n">
        <v>0.794</v>
      </c>
    </row>
    <row r="11">
      <c r="A11" s="14" t="inlineStr">
        <is>
          <t>test_acesso.py</t>
        </is>
      </c>
      <c r="B11" s="14" t="inlineStr">
        <is>
          <t>test_ct_01_06_04_e_01_06_05_bloqueio_apos_3_falhas_mesmo_com_senha_correta</t>
        </is>
      </c>
      <c r="C11" s="14" t="n">
        <v>1</v>
      </c>
      <c r="D11" s="14" t="inlineStr">
        <is>
          <t>CT-01.06-04, CT-01.06-05</t>
        </is>
      </c>
      <c r="E11" s="14" t="inlineStr">
        <is>
          <t>Aprovado</t>
        </is>
      </c>
      <c r="F11" s="14" t="n">
        <v>0.986</v>
      </c>
      <c r="G11" s="14" t="inlineStr">
        <is>
          <t>Aprovado</t>
        </is>
      </c>
      <c r="H11" s="14" t="n">
        <v>1.033</v>
      </c>
    </row>
    <row r="12">
      <c r="A12" s="14" t="inlineStr">
        <is>
          <t>test_acesso.py</t>
        </is>
      </c>
      <c r="B12" s="14" t="inlineStr">
        <is>
          <t>test_ct_01_06_07_sessao_expira_por_inatividade_e_renova_com_uso</t>
        </is>
      </c>
      <c r="C12" s="14" t="n">
        <v>1</v>
      </c>
      <c r="D12" s="14" t="inlineStr">
        <is>
          <t>CT-01.06-07</t>
        </is>
      </c>
      <c r="E12" s="14" t="inlineStr">
        <is>
          <t>Aprovado</t>
        </is>
      </c>
      <c r="F12" s="14" t="n">
        <v>0.764</v>
      </c>
      <c r="G12" s="14" t="inlineStr">
        <is>
          <t>Aprovado</t>
        </is>
      </c>
      <c r="H12" s="14" t="n">
        <v>0.736</v>
      </c>
    </row>
    <row r="13">
      <c r="A13" s="14" t="inlineStr">
        <is>
          <t>test_acesso.py</t>
        </is>
      </c>
      <c r="B13" s="14" t="inlineStr">
        <is>
          <t>test_ct_01_07_01_e_01_07_02_resposta_igual_e_email_so_para_cadastrado</t>
        </is>
      </c>
      <c r="C13" s="14" t="n">
        <v>1</v>
      </c>
      <c r="D13" s="14" t="inlineStr">
        <is>
          <t>CT-01.07-01, CT-01.07-02</t>
        </is>
      </c>
      <c r="E13" s="14" t="inlineStr">
        <is>
          <t>Aprovado</t>
        </is>
      </c>
      <c r="F13" s="14" t="n">
        <v>0.6879999999999999</v>
      </c>
      <c r="G13" s="14" t="inlineStr">
        <is>
          <t>Aprovado</t>
        </is>
      </c>
      <c r="H13" s="14" t="n">
        <v>0.618</v>
      </c>
    </row>
    <row r="14">
      <c r="A14" s="14" t="inlineStr">
        <is>
          <t>test_acesso.py</t>
        </is>
      </c>
      <c r="B14" s="14" t="inlineStr">
        <is>
          <t>test_ct_01_07_03_e_01_07_04_e_01_07_06_troca_a_senha_desbloqueia_e_link_nao_se_repete</t>
        </is>
      </c>
      <c r="C14" s="14" t="n">
        <v>1</v>
      </c>
      <c r="D14" s="14" t="inlineStr">
        <is>
          <t>CT-01.07-03, CT-01.07-04, CT-01.07-06</t>
        </is>
      </c>
      <c r="E14" s="14" t="inlineStr">
        <is>
          <t>Aprovado</t>
        </is>
      </c>
      <c r="F14" s="14" t="n">
        <v>1.589</v>
      </c>
      <c r="G14" s="14" t="inlineStr">
        <is>
          <t>Aprovado</t>
        </is>
      </c>
      <c r="H14" s="14" t="n">
        <v>1.218</v>
      </c>
    </row>
    <row r="15">
      <c r="A15" s="14" t="inlineStr">
        <is>
          <t>test_acesso.py</t>
        </is>
      </c>
      <c r="B15" s="14" t="inlineStr">
        <is>
          <t>test_ct_01_07_05_link_de_recuperacao_vencido_e_recusado</t>
        </is>
      </c>
      <c r="C15" s="14" t="n">
        <v>1</v>
      </c>
      <c r="D15" s="14" t="inlineStr">
        <is>
          <t>CT-01.07-05</t>
        </is>
      </c>
      <c r="E15" s="14" t="inlineStr">
        <is>
          <t>Aprovado</t>
        </is>
      </c>
      <c r="F15" s="14" t="n">
        <v>0.719</v>
      </c>
      <c r="G15" s="14" t="inlineStr">
        <is>
          <t>Aprovado</t>
        </is>
      </c>
      <c r="H15" s="14" t="n">
        <v>0.875</v>
      </c>
    </row>
    <row r="16">
      <c r="A16" s="14" t="inlineStr">
        <is>
          <t>test_acesso.py</t>
        </is>
      </c>
      <c r="B16" s="14" t="inlineStr">
        <is>
          <t>test_hu0105_reenvio_so_para_quem_aguarda_ativacao</t>
        </is>
      </c>
      <c r="C16" s="14" t="n">
        <v>1</v>
      </c>
      <c r="D16" s="14" t="inlineStr">
        <is>
          <t>complementar (sem CT na matriz)</t>
        </is>
      </c>
      <c r="E16" s="14" t="inlineStr">
        <is>
          <t>Aprovado</t>
        </is>
      </c>
      <c r="F16" s="14" t="n">
        <v>0.729</v>
      </c>
      <c r="G16" s="14" t="inlineStr">
        <is>
          <t>Aprovado</t>
        </is>
      </c>
      <c r="H16" s="14" t="n">
        <v>0.623</v>
      </c>
    </row>
    <row r="17">
      <c r="A17" s="14" t="inlineStr">
        <is>
          <t>test_acesso.py</t>
        </is>
      </c>
      <c r="B17" s="14" t="inlineStr">
        <is>
          <t>test_hu0106_ca4_logout_encerra_a_sessao</t>
        </is>
      </c>
      <c r="C17" s="14" t="n">
        <v>1</v>
      </c>
      <c r="D17" s="14" t="inlineStr">
        <is>
          <t>complementar (sem CT na matriz)</t>
        </is>
      </c>
      <c r="E17" s="14" t="inlineStr">
        <is>
          <t>Aprovado</t>
        </is>
      </c>
      <c r="F17" s="14" t="n">
        <v>0.752</v>
      </c>
      <c r="G17" s="14" t="inlineStr">
        <is>
          <t>Aprovado</t>
        </is>
      </c>
      <c r="H17" s="14" t="n">
        <v>0.994</v>
      </c>
    </row>
    <row r="18">
      <c r="A18" s="14" t="inlineStr">
        <is>
          <t>test_acesso.py</t>
        </is>
      </c>
      <c r="B18" s="14" t="inlineStr">
        <is>
          <t>test_hu0106_ca5_toda_tentativa_e_registrada</t>
        </is>
      </c>
      <c r="C18" s="14" t="n">
        <v>1</v>
      </c>
      <c r="D18" s="14" t="inlineStr">
        <is>
          <t>complementar (sem CT na matriz)</t>
        </is>
      </c>
      <c r="E18" s="14" t="inlineStr">
        <is>
          <t>Aprovado</t>
        </is>
      </c>
      <c r="F18" s="14" t="n">
        <v>0.974</v>
      </c>
      <c r="G18" s="14" t="inlineStr">
        <is>
          <t>Aprovado</t>
        </is>
      </c>
      <c r="H18" s="14" t="n">
        <v>0.82</v>
      </c>
    </row>
    <row r="19">
      <c r="A19" s="14" t="inlineStr">
        <is>
          <t>test_acesso.py</t>
        </is>
      </c>
      <c r="B19" s="14" t="inlineStr">
        <is>
          <t>test_hu0106_sucesso_zera_as_tentativas</t>
        </is>
      </c>
      <c r="C19" s="14" t="n">
        <v>1</v>
      </c>
      <c r="D19" s="14" t="inlineStr">
        <is>
          <t>complementar (sem CT na matriz)</t>
        </is>
      </c>
      <c r="E19" s="14" t="inlineStr">
        <is>
          <t>Aprovado</t>
        </is>
      </c>
      <c r="F19" s="14" t="n">
        <v>1.27</v>
      </c>
      <c r="G19" s="14" t="inlineStr">
        <is>
          <t>Aprovado</t>
        </is>
      </c>
      <c r="H19" s="14" t="n">
        <v>0.86</v>
      </c>
    </row>
    <row r="20">
      <c r="A20" s="14" t="inlineStr">
        <is>
          <t>test_acesso.py</t>
        </is>
      </c>
      <c r="B20" s="14" t="inlineStr">
        <is>
          <t>test_hu0107_token_de_ativacao_nao_serve_para_redefinir</t>
        </is>
      </c>
      <c r="C20" s="14" t="n">
        <v>1</v>
      </c>
      <c r="D20" s="14" t="inlineStr">
        <is>
          <t>complementar (sem CT na matriz)</t>
        </is>
      </c>
      <c r="E20" s="14" t="inlineStr">
        <is>
          <t>Aprovado</t>
        </is>
      </c>
      <c r="F20" s="14" t="n">
        <v>0.856</v>
      </c>
      <c r="G20" s="14" t="inlineStr">
        <is>
          <t>Aprovado</t>
        </is>
      </c>
      <c r="H20" s="14" t="n">
        <v>0.743</v>
      </c>
    </row>
    <row r="21">
      <c r="A21" s="14" t="inlineStr">
        <is>
          <t>test_config.py</t>
        </is>
      </c>
      <c r="B21" s="14" t="inlineStr">
        <is>
          <t>test_url_do_banco_indica_o_driver_psycopg</t>
        </is>
      </c>
      <c r="C21" s="14" t="n">
        <v>4</v>
      </c>
      <c r="D21" s="14" t="inlineStr">
        <is>
          <t>complementar (sem CT na matriz)</t>
        </is>
      </c>
      <c r="E21" s="14" t="inlineStr">
        <is>
          <t>Aprovado</t>
        </is>
      </c>
      <c r="F21" s="14" t="n">
        <v>2.576</v>
      </c>
      <c r="G21" s="14" t="inlineStr">
        <is>
          <t>Aprovado</t>
        </is>
      </c>
      <c r="H21" s="14" t="n">
        <v>2.397</v>
      </c>
    </row>
    <row r="22">
      <c r="A22" s="14" t="inlineStr">
        <is>
          <t>test_cts_complementares.py</t>
        </is>
      </c>
      <c r="B22" s="14" t="inlineStr">
        <is>
          <t>test_ct_01_01_04_docente_recebe_tambem_o_perfil_de_coordenador</t>
        </is>
      </c>
      <c r="C22" s="14" t="n">
        <v>1</v>
      </c>
      <c r="D22" s="14" t="inlineStr">
        <is>
          <t>CT-01.01-04</t>
        </is>
      </c>
      <c r="E22" s="14" t="inlineStr">
        <is>
          <t>Aprovado</t>
        </is>
      </c>
      <c r="F22" s="14" t="n">
        <v>1.171</v>
      </c>
      <c r="G22" s="14" t="inlineStr">
        <is>
          <t>Aprovado</t>
        </is>
      </c>
      <c r="H22" s="14" t="n">
        <v>0.896</v>
      </c>
    </row>
    <row r="23">
      <c r="A23" s="14" t="inlineStr">
        <is>
          <t>test_cts_complementares.py</t>
        </is>
      </c>
      <c r="B23" s="14" t="inlineStr">
        <is>
          <t>test_ct_01_02_03_area_com_nome_vazio_e_recusada</t>
        </is>
      </c>
      <c r="C23" s="14" t="n">
        <v>1</v>
      </c>
      <c r="D23" s="14" t="inlineStr">
        <is>
          <t>CT-01.02-03</t>
        </is>
      </c>
      <c r="E23" s="14" t="inlineStr">
        <is>
          <t>Aprovado</t>
        </is>
      </c>
      <c r="F23" s="14" t="n">
        <v>0.741</v>
      </c>
      <c r="G23" s="14" t="inlineStr">
        <is>
          <t>Aprovado</t>
        </is>
      </c>
      <c r="H23" s="14" t="n">
        <v>0.869</v>
      </c>
    </row>
    <row r="24">
      <c r="A24" s="14" t="inlineStr">
        <is>
          <t>test_cts_complementares.py</t>
        </is>
      </c>
      <c r="B24" s="14" t="inlineStr">
        <is>
          <t>test_ct_01_02_04_renomear_area_vale_para_os_docentes_vinculados</t>
        </is>
      </c>
      <c r="C24" s="14" t="n">
        <v>1</v>
      </c>
      <c r="D24" s="14" t="inlineStr">
        <is>
          <t>CT-01.02-04</t>
        </is>
      </c>
      <c r="E24" s="14" t="inlineStr">
        <is>
          <t>Aprovado</t>
        </is>
      </c>
      <c r="F24" s="14" t="n">
        <v>0.783</v>
      </c>
      <c r="G24" s="14" t="inlineStr">
        <is>
          <t>Aprovado</t>
        </is>
      </c>
      <c r="H24" s="14" t="n">
        <v>0.793</v>
      </c>
    </row>
    <row r="25">
      <c r="A25" s="14" t="inlineStr">
        <is>
          <t>test_cts_complementares.py</t>
        </is>
      </c>
      <c r="B25" s="14" t="inlineStr">
        <is>
          <t>test_ct_01_03_02_aluno_sem_matricula_e_recusado</t>
        </is>
      </c>
      <c r="C25" s="14" t="n">
        <v>1</v>
      </c>
      <c r="D25" s="14" t="inlineStr">
        <is>
          <t>CT-01.03-02</t>
        </is>
      </c>
      <c r="E25" s="14" t="inlineStr">
        <is>
          <t>Aprovado</t>
        </is>
      </c>
      <c r="F25" s="14" t="n">
        <v>0.79</v>
      </c>
      <c r="G25" s="14" t="inlineStr">
        <is>
          <t>Aprovado</t>
        </is>
      </c>
      <c r="H25" s="14" t="n">
        <v>0.839</v>
      </c>
    </row>
    <row r="26">
      <c r="A26" s="14" t="inlineStr">
        <is>
          <t>test_cts_complementares.py</t>
        </is>
      </c>
      <c r="B26" s="14" t="inlineStr">
        <is>
          <t>test_ct_01_03_05_aluno_nao_cadastra_aluno</t>
        </is>
      </c>
      <c r="C26" s="14" t="n">
        <v>1</v>
      </c>
      <c r="D26" s="14" t="inlineStr">
        <is>
          <t>CT-01.03-05</t>
        </is>
      </c>
      <c r="E26" s="14" t="inlineStr">
        <is>
          <t>Aprovado</t>
        </is>
      </c>
      <c r="F26" s="14" t="n">
        <v>1.04</v>
      </c>
      <c r="G26" s="14" t="inlineStr">
        <is>
          <t>Aprovado</t>
        </is>
      </c>
      <c r="H26" s="14" t="n">
        <v>1.13</v>
      </c>
    </row>
    <row r="27">
      <c r="A27" s="14" t="inlineStr">
        <is>
          <t>test_cts_complementares.py</t>
        </is>
      </c>
      <c r="B27" s="14" t="inlineStr">
        <is>
          <t>test_ct_01_06_06_login_com_campos_vazios_e_recusado</t>
        </is>
      </c>
      <c r="C27" s="14" t="n">
        <v>1</v>
      </c>
      <c r="D27" s="14" t="inlineStr">
        <is>
          <t>CT-01.06-06</t>
        </is>
      </c>
      <c r="E27" s="14" t="inlineStr">
        <is>
          <t>Aprovado</t>
        </is>
      </c>
      <c r="F27" s="14" t="n">
        <v>0.571</v>
      </c>
      <c r="G27" s="14" t="inlineStr">
        <is>
          <t>Aprovado</t>
        </is>
      </c>
      <c r="H27" s="14" t="n">
        <v>0.53</v>
      </c>
    </row>
    <row r="28">
      <c r="A28" s="14" t="inlineStr">
        <is>
          <t>test_cts_complementares.py</t>
        </is>
      </c>
      <c r="B28" s="14" t="inlineStr">
        <is>
          <t>test_ct_01_08_05_aluno_nao_edita_outro_usuario</t>
        </is>
      </c>
      <c r="C28" s="14" t="n">
        <v>1</v>
      </c>
      <c r="D28" s="14" t="inlineStr">
        <is>
          <t>CT-01.08-05</t>
        </is>
      </c>
      <c r="E28" s="14" t="inlineStr">
        <is>
          <t>Aprovado</t>
        </is>
      </c>
      <c r="F28" s="14" t="n">
        <v>1.572</v>
      </c>
      <c r="G28" s="14" t="inlineStr">
        <is>
          <t>Aprovado</t>
        </is>
      </c>
      <c r="H28" s="14" t="n">
        <v>1.085</v>
      </c>
    </row>
    <row r="29">
      <c r="A29" s="14" t="inlineStr">
        <is>
          <t>test_cts_complementares.py</t>
        </is>
      </c>
      <c r="B29" s="14" t="inlineStr">
        <is>
          <t>test_ct_01_10_06_professor_ve_as_propostas_da_sua_area</t>
        </is>
      </c>
      <c r="C29" s="14" t="n">
        <v>1</v>
      </c>
      <c r="D29" s="14" t="inlineStr">
        <is>
          <t>CT-01.10-06</t>
        </is>
      </c>
      <c r="E29" s="14" t="inlineStr">
        <is>
          <t>Pulado</t>
        </is>
      </c>
      <c r="F29" s="14" t="n">
        <v>0.001</v>
      </c>
      <c r="G29" s="14" t="inlineStr">
        <is>
          <t>Pulado</t>
        </is>
      </c>
      <c r="H29" s="14" t="n">
        <v>0</v>
      </c>
    </row>
    <row r="30">
      <c r="A30" s="14" t="inlineStr">
        <is>
          <t>test_cts_complementares.py</t>
        </is>
      </c>
      <c r="B30" s="14" t="inlineStr">
        <is>
          <t>test_ct_03_01_06_aluno_de_outro_curso_salva_o_cadastro_e_mantem_o_curso</t>
        </is>
      </c>
      <c r="C30" s="14" t="n">
        <v>1</v>
      </c>
      <c r="D30" s="14" t="inlineStr">
        <is>
          <t>CT-03.01-06</t>
        </is>
      </c>
      <c r="E30" s="14" t="inlineStr">
        <is>
          <t>Aprovado</t>
        </is>
      </c>
      <c r="F30" s="14" t="n">
        <v>2.603</v>
      </c>
      <c r="G30" s="14" t="inlineStr">
        <is>
          <t>Aprovado</t>
        </is>
      </c>
      <c r="H30" s="14" t="n">
        <v>2.11</v>
      </c>
    </row>
    <row r="31">
      <c r="A31" s="14" t="inlineStr">
        <is>
          <t>test_cts_complementares.py</t>
        </is>
      </c>
      <c r="B31" s="14" t="inlineStr">
        <is>
          <t>test_ct_03_02_05_artigo_submetido_nao_exige_doi</t>
        </is>
      </c>
      <c r="C31" s="14" t="n">
        <v>1</v>
      </c>
      <c r="D31" s="14" t="inlineStr">
        <is>
          <t>CT-03.02-05</t>
        </is>
      </c>
      <c r="E31" s="14" t="inlineStr">
        <is>
          <t>Aprovado</t>
        </is>
      </c>
      <c r="F31" s="14" t="n">
        <v>2.092</v>
      </c>
      <c r="G31" s="14" t="inlineStr">
        <is>
          <t>Aprovado</t>
        </is>
      </c>
      <c r="H31" s="14" t="n">
        <v>1.795</v>
      </c>
    </row>
    <row r="32">
      <c r="A32" s="14" t="inlineStr">
        <is>
          <t>test_cts_complementares.py</t>
        </is>
      </c>
      <c r="B32" s="14" t="inlineStr">
        <is>
          <t>test_ct_03_02_06_situacao_editorial_fora_dos_valores_previstos_e_recusada</t>
        </is>
      </c>
      <c r="C32" s="14" t="n">
        <v>1</v>
      </c>
      <c r="D32" s="14" t="inlineStr">
        <is>
          <t>CT-03.02-06</t>
        </is>
      </c>
      <c r="E32" s="14" t="inlineStr">
        <is>
          <t>Aprovado</t>
        </is>
      </c>
      <c r="F32" s="14" t="n">
        <v>1.94</v>
      </c>
      <c r="G32" s="14" t="inlineStr">
        <is>
          <t>Aprovado</t>
        </is>
      </c>
      <c r="H32" s="14" t="n">
        <v>1.782</v>
      </c>
    </row>
    <row r="33">
      <c r="A33" s="14" t="inlineStr">
        <is>
          <t>test_cts_complementares.py</t>
        </is>
      </c>
      <c r="B33" s="14" t="inlineStr">
        <is>
          <t>test_ct_03_03_04_aluno_incluido_na_turma_passa_a_poder_submeter</t>
        </is>
      </c>
      <c r="C33" s="14" t="n">
        <v>1</v>
      </c>
      <c r="D33" s="14" t="inlineStr">
        <is>
          <t>CT-03.03-04</t>
        </is>
      </c>
      <c r="E33" s="14" t="inlineStr">
        <is>
          <t>Aprovado</t>
        </is>
      </c>
      <c r="F33" s="14" t="n">
        <v>2.929</v>
      </c>
      <c r="G33" s="14" t="inlineStr">
        <is>
          <t>Aprovado</t>
        </is>
      </c>
      <c r="H33" s="14" t="n">
        <v>2.108</v>
      </c>
    </row>
    <row r="34">
      <c r="A34" s="14" t="inlineStr">
        <is>
          <t>test_cts_complementares.py</t>
        </is>
      </c>
      <c r="B34" s="14" t="inlineStr">
        <is>
          <t>test_ct_03_04_05_submissoes_simultaneas_geram_protocolos_distintos</t>
        </is>
      </c>
      <c r="C34" s="14" t="n">
        <v>1</v>
      </c>
      <c r="D34" s="14" t="inlineStr">
        <is>
          <t>CT-03.04-05</t>
        </is>
      </c>
      <c r="E34" s="14" t="inlineStr">
        <is>
          <t>Aprovado</t>
        </is>
      </c>
      <c r="F34" s="14" t="n">
        <v>6.11</v>
      </c>
      <c r="G34" s="14" t="inlineStr">
        <is>
          <t>Aprovado</t>
        </is>
      </c>
      <c r="H34" s="14" t="n">
        <v>4.898</v>
      </c>
    </row>
    <row r="35">
      <c r="A35" s="14" t="inlineStr">
        <is>
          <t>test_cts_complementares.py</t>
        </is>
      </c>
      <c r="B35" s="14" t="inlineStr">
        <is>
          <t>test_ct_06_01_02_orientador_inativo_nao_aparece_na_lista</t>
        </is>
      </c>
      <c r="C35" s="14" t="n">
        <v>1</v>
      </c>
      <c r="D35" s="14" t="inlineStr">
        <is>
          <t>CT-06.01-02</t>
        </is>
      </c>
      <c r="E35" s="14" t="inlineStr">
        <is>
          <t>Aprovado</t>
        </is>
      </c>
      <c r="F35" s="14" t="n">
        <v>1.875</v>
      </c>
      <c r="G35" s="14" t="inlineStr">
        <is>
          <t>Aprovado</t>
        </is>
      </c>
      <c r="H35" s="14" t="n">
        <v>1.75</v>
      </c>
    </row>
    <row r="36">
      <c r="A36" s="14" t="inlineStr">
        <is>
          <t>test_cts_complementares.py</t>
        </is>
      </c>
      <c r="B36" s="14" t="inlineStr">
        <is>
          <t>test_ct_06_01_03_nao_submete_sem_orientador</t>
        </is>
      </c>
      <c r="C36" s="14" t="n">
        <v>1</v>
      </c>
      <c r="D36" s="14" t="inlineStr">
        <is>
          <t>CT-06.01-03</t>
        </is>
      </c>
      <c r="E36" s="14" t="inlineStr">
        <is>
          <t>Aprovado</t>
        </is>
      </c>
      <c r="F36" s="14" t="n">
        <v>2.107</v>
      </c>
      <c r="G36" s="14" t="inlineStr">
        <is>
          <t>Aprovado</t>
        </is>
      </c>
      <c r="H36" s="14" t="n">
        <v>1.918</v>
      </c>
    </row>
    <row r="37">
      <c r="A37" s="14" t="inlineStr">
        <is>
          <t>test_cts_complementares.py</t>
        </is>
      </c>
      <c r="B37" s="14" t="inlineStr">
        <is>
          <t>test_ct_06_01_04_substituir_orientador_preserva_o_historico</t>
        </is>
      </c>
      <c r="C37" s="14" t="n">
        <v>1</v>
      </c>
      <c r="D37" s="14" t="inlineStr">
        <is>
          <t>CT-06.01-04</t>
        </is>
      </c>
      <c r="E37" s="14" t="inlineStr">
        <is>
          <t>Pulado</t>
        </is>
      </c>
      <c r="F37" s="14" t="n">
        <v>0.001</v>
      </c>
      <c r="G37" s="14" t="inlineStr">
        <is>
          <t>Pulado</t>
        </is>
      </c>
      <c r="H37" s="14" t="n">
        <v>0</v>
      </c>
    </row>
    <row r="38">
      <c r="A38" s="14" t="inlineStr">
        <is>
          <t>test_cts_complementares.py</t>
        </is>
      </c>
      <c r="B38" s="14" t="inlineStr">
        <is>
          <t>test_ct_06_01_05_aluno_de_outro_cadastro_nao_altera_a_orientacao</t>
        </is>
      </c>
      <c r="C38" s="14" t="n">
        <v>1</v>
      </c>
      <c r="D38" s="14" t="inlineStr">
        <is>
          <t>CT-06.01-05</t>
        </is>
      </c>
      <c r="E38" s="14" t="inlineStr">
        <is>
          <t>Aprovado</t>
        </is>
      </c>
      <c r="F38" s="14" t="n">
        <v>3.466</v>
      </c>
      <c r="G38" s="14" t="inlineStr">
        <is>
          <t>Aprovado</t>
        </is>
      </c>
      <c r="H38" s="14" t="n">
        <v>2.416</v>
      </c>
    </row>
    <row r="39">
      <c r="A39" s="14" t="inlineStr">
        <is>
          <t>test_cts_complementares.py</t>
        </is>
      </c>
      <c r="B39" s="14" t="inlineStr">
        <is>
          <t>test_ct_06_01_06_vinculo_de_orientacao_fica_no_log</t>
        </is>
      </c>
      <c r="C39" s="14" t="n">
        <v>1</v>
      </c>
      <c r="D39" s="14" t="inlineStr">
        <is>
          <t>CT-06.01-06</t>
        </is>
      </c>
      <c r="E39" s="14" t="inlineStr">
        <is>
          <t>Aprovado</t>
        </is>
      </c>
      <c r="F39" s="14" t="n">
        <v>2.638</v>
      </c>
      <c r="G39" s="14" t="inlineStr">
        <is>
          <t>Aprovado</t>
        </is>
      </c>
      <c r="H39" s="14" t="n">
        <v>2.022</v>
      </c>
    </row>
    <row r="40">
      <c r="A40" s="14" t="inlineStr">
        <is>
          <t>test_cts_complementares.py</t>
        </is>
      </c>
      <c r="B40" s="14" t="inlineStr">
        <is>
          <t>test_ct_ht07_01_log_registra_usuario_data_campo_e_valores</t>
        </is>
      </c>
      <c r="C40" s="14" t="n">
        <v>1</v>
      </c>
      <c r="D40" s="14" t="inlineStr">
        <is>
          <t>complementar (sem CT na matriz)</t>
        </is>
      </c>
      <c r="E40" s="14" t="inlineStr">
        <is>
          <t>Aprovado</t>
        </is>
      </c>
      <c r="F40" s="14" t="n">
        <v>1.086</v>
      </c>
      <c r="G40" s="14" t="inlineStr">
        <is>
          <t>Aprovado</t>
        </is>
      </c>
      <c r="H40" s="14" t="n">
        <v>0.804</v>
      </c>
    </row>
    <row r="41">
      <c r="A41" s="14" t="inlineStr">
        <is>
          <t>test_migracoes.py</t>
        </is>
      </c>
      <c r="B41" s="14" t="inlineStr">
        <is>
          <t>test_banco_antigo_sem_alembic_e_reconhecido_e_atualizado</t>
        </is>
      </c>
      <c r="C41" s="14" t="n">
        <v>1</v>
      </c>
      <c r="D41" s="14" t="inlineStr">
        <is>
          <t>complementar (sem CT na matriz)</t>
        </is>
      </c>
      <c r="E41" s="14" t="inlineStr">
        <is>
          <t>Aprovado</t>
        </is>
      </c>
      <c r="F41" s="14" t="n">
        <v>1.683</v>
      </c>
      <c r="G41" s="14" t="inlineStr">
        <is>
          <t>Aprovado</t>
        </is>
      </c>
      <c r="H41" s="14" t="n">
        <v>1.201</v>
      </c>
    </row>
    <row r="42">
      <c r="A42" s="14" t="inlineStr">
        <is>
          <t>test_migracoes.py</t>
        </is>
      </c>
      <c r="B42" s="14" t="inlineStr">
        <is>
          <t>test_ct_ht05_01_migracoes_criam_o_esquema_completo</t>
        </is>
      </c>
      <c r="C42" s="14" t="n">
        <v>1</v>
      </c>
      <c r="D42" s="14" t="inlineStr">
        <is>
          <t>complementar (sem CT na matriz)</t>
        </is>
      </c>
      <c r="E42" s="14" t="inlineStr">
        <is>
          <t>Aprovado</t>
        </is>
      </c>
      <c r="F42" s="14" t="n">
        <v>1.425</v>
      </c>
      <c r="G42" s="14" t="inlineStr">
        <is>
          <t>Aprovado</t>
        </is>
      </c>
      <c r="H42" s="14" t="n">
        <v>1.388</v>
      </c>
    </row>
    <row r="43">
      <c r="A43" s="14" t="inlineStr">
        <is>
          <t>test_migracoes.py</t>
        </is>
      </c>
      <c r="B43" s="14" t="inlineStr">
        <is>
          <t>test_ct_ht05_02_banco_recusa_email_repetido_com_outras_maiusculas</t>
        </is>
      </c>
      <c r="C43" s="14" t="n">
        <v>1</v>
      </c>
      <c r="D43" s="14" t="inlineStr">
        <is>
          <t>complementar (sem CT na matriz)</t>
        </is>
      </c>
      <c r="E43" s="14" t="inlineStr">
        <is>
          <t>Aprovado</t>
        </is>
      </c>
      <c r="F43" s="14" t="n">
        <v>1.329</v>
      </c>
      <c r="G43" s="14" t="inlineStr">
        <is>
          <t>Aprovado</t>
        </is>
      </c>
      <c r="H43" s="14" t="n">
        <v>1.047</v>
      </c>
    </row>
    <row r="44">
      <c r="A44" s="14" t="inlineStr">
        <is>
          <t>test_migracoes.py</t>
        </is>
      </c>
      <c r="B44" s="14" t="inlineStr">
        <is>
          <t>test_ct_ht07_02_log_de_auditoria_nao_pode_ser_alterado_nem_apagado</t>
        </is>
      </c>
      <c r="C44" s="14" t="n">
        <v>1</v>
      </c>
      <c r="D44" s="14" t="inlineStr">
        <is>
          <t>complementar (sem CT na matriz)</t>
        </is>
      </c>
      <c r="E44" s="14" t="inlineStr">
        <is>
          <t>Aprovado</t>
        </is>
      </c>
      <c r="F44" s="14" t="n">
        <v>1.31</v>
      </c>
      <c r="G44" s="14" t="inlineStr">
        <is>
          <t>Aprovado</t>
        </is>
      </c>
      <c r="H44" s="14" t="n">
        <v>1.226</v>
      </c>
    </row>
    <row r="45">
      <c r="A45" s="14" t="inlineStr">
        <is>
          <t>test_migracoes.py</t>
        </is>
      </c>
      <c r="B45" s="14" t="inlineStr">
        <is>
          <t>test_ct_ht08_01_carga_inicial_deixa_os_dados_presentes</t>
        </is>
      </c>
      <c r="C45" s="14" t="n">
        <v>1</v>
      </c>
      <c r="D45" s="14" t="inlineStr">
        <is>
          <t>complementar (sem CT na matriz)</t>
        </is>
      </c>
      <c r="E45" s="14" t="inlineStr">
        <is>
          <t>Aprovado</t>
        </is>
      </c>
      <c r="F45" s="14" t="n">
        <v>1.69</v>
      </c>
      <c r="G45" s="14" t="inlineStr">
        <is>
          <t>Aprovado</t>
        </is>
      </c>
      <c r="H45" s="14" t="n">
        <v>1.327</v>
      </c>
    </row>
    <row r="46">
      <c r="A46" s="14" t="inlineStr">
        <is>
          <t>test_migracoes.py</t>
        </is>
      </c>
      <c r="B46" s="14" t="inlineStr">
        <is>
          <t>test_ct_ht08_02_carga_inicial_repetida_nao_duplica</t>
        </is>
      </c>
      <c r="C46" s="14" t="n">
        <v>1</v>
      </c>
      <c r="D46" s="14" t="inlineStr">
        <is>
          <t>complementar (sem CT na matriz)</t>
        </is>
      </c>
      <c r="E46" s="14" t="inlineStr">
        <is>
          <t>Aprovado</t>
        </is>
      </c>
      <c r="F46" s="14" t="n">
        <v>1.807</v>
      </c>
      <c r="G46" s="14" t="inlineStr">
        <is>
          <t>Aprovado</t>
        </is>
      </c>
      <c r="H46" s="14" t="n">
        <v>1.736</v>
      </c>
    </row>
    <row r="47">
      <c r="A47" s="14" t="inlineStr">
        <is>
          <t>test_perfil.py</t>
        </is>
      </c>
      <c r="B47" s="14" t="inlineStr">
        <is>
          <t>test_ct_01_02_01_e_01_02_07_coordenador_cria_renomeia_e_exclui_area</t>
        </is>
      </c>
      <c r="C47" s="14" t="n">
        <v>1</v>
      </c>
      <c r="D47" s="14" t="inlineStr">
        <is>
          <t>CT-01.02-01, CT-01.02-07</t>
        </is>
      </c>
      <c r="E47" s="14" t="inlineStr">
        <is>
          <t>Aprovado</t>
        </is>
      </c>
      <c r="F47" s="14" t="n">
        <v>1.114</v>
      </c>
      <c r="G47" s="14" t="inlineStr">
        <is>
          <t>Aprovado</t>
        </is>
      </c>
      <c r="H47" s="14" t="n">
        <v>0.984</v>
      </c>
    </row>
    <row r="48">
      <c r="A48" s="14" t="inlineStr">
        <is>
          <t>test_perfil.py</t>
        </is>
      </c>
      <c r="B48" s="14" t="inlineStr">
        <is>
          <t>test_ct_01_02_02_nome_repetido_ignora_maiusculas</t>
        </is>
      </c>
      <c r="C48" s="14" t="n">
        <v>1</v>
      </c>
      <c r="D48" s="14" t="inlineStr">
        <is>
          <t>CT-01.02-02</t>
        </is>
      </c>
      <c r="E48" s="14" t="inlineStr">
        <is>
          <t>Aprovado</t>
        </is>
      </c>
      <c r="F48" s="14" t="n">
        <v>0.952</v>
      </c>
      <c r="G48" s="14" t="inlineStr">
        <is>
          <t>Aprovado</t>
        </is>
      </c>
      <c r="H48" s="14" t="n">
        <v>0.766</v>
      </c>
    </row>
    <row r="49">
      <c r="A49" s="14" t="inlineStr">
        <is>
          <t>test_perfil.py</t>
        </is>
      </c>
      <c r="B49" s="14" t="inlineStr">
        <is>
          <t>test_ct_01_02_05_excluir_area_em_uso_desvincula_docentes</t>
        </is>
      </c>
      <c r="C49" s="14" t="n">
        <v>1</v>
      </c>
      <c r="D49" s="14" t="inlineStr">
        <is>
          <t>CT-01.02-05</t>
        </is>
      </c>
      <c r="E49" s="14" t="inlineStr">
        <is>
          <t>Aprovado</t>
        </is>
      </c>
      <c r="F49" s="14" t="n">
        <v>1.146</v>
      </c>
      <c r="G49" s="14" t="inlineStr">
        <is>
          <t>Aprovado</t>
        </is>
      </c>
      <c r="H49" s="14" t="n">
        <v>0.885</v>
      </c>
    </row>
    <row r="50">
      <c r="A50" s="14" t="inlineStr">
        <is>
          <t>test_perfil.py</t>
        </is>
      </c>
      <c r="B50" s="14" t="inlineStr">
        <is>
          <t>test_ct_01_02_06_so_coordenador_gerencia_areas</t>
        </is>
      </c>
      <c r="C50" s="14" t="n">
        <v>1</v>
      </c>
      <c r="D50" s="14" t="inlineStr">
        <is>
          <t>CT-01.02-06</t>
        </is>
      </c>
      <c r="E50" s="14" t="inlineStr">
        <is>
          <t>Aprovado</t>
        </is>
      </c>
      <c r="F50" s="14" t="n">
        <v>1.424</v>
      </c>
      <c r="G50" s="14" t="inlineStr">
        <is>
          <t>Aprovado</t>
        </is>
      </c>
      <c r="H50" s="14" t="n">
        <v>1.055</v>
      </c>
    </row>
    <row r="51">
      <c r="A51" s="14" t="inlineStr">
        <is>
          <t>test_perfil.py</t>
        </is>
      </c>
      <c r="B51" s="14" t="inlineStr">
        <is>
          <t>test_ct_01_09_01_e_01_09_02_aluno_edita_telefone_mas_nao_o_curso</t>
        </is>
      </c>
      <c r="C51" s="14" t="n">
        <v>1</v>
      </c>
      <c r="D51" s="14" t="inlineStr">
        <is>
          <t>CT-01.09-01, CT-01.09-02</t>
        </is>
      </c>
      <c r="E51" s="14" t="inlineStr">
        <is>
          <t>Aprovado</t>
        </is>
      </c>
      <c r="F51" s="14" t="n">
        <v>1.717</v>
      </c>
      <c r="G51" s="14" t="inlineStr">
        <is>
          <t>Aprovado</t>
        </is>
      </c>
      <c r="H51" s="14" t="n">
        <v>1.226</v>
      </c>
    </row>
    <row r="52">
      <c r="A52" s="14" t="inlineStr">
        <is>
          <t>test_perfil.py</t>
        </is>
      </c>
      <c r="B52" s="14" t="inlineStr">
        <is>
          <t>test_ct_01_09_01_foto_aceita_jpg_png_webp_e_pode_ser_removida</t>
        </is>
      </c>
      <c r="C52" s="14" t="n">
        <v>1</v>
      </c>
      <c r="D52" s="14" t="inlineStr">
        <is>
          <t>CT-01.09-01</t>
        </is>
      </c>
      <c r="E52" s="14" t="inlineStr">
        <is>
          <t>Aprovado</t>
        </is>
      </c>
      <c r="F52" s="14" t="n">
        <v>1.631</v>
      </c>
      <c r="G52" s="14" t="inlineStr">
        <is>
          <t>Aprovado</t>
        </is>
      </c>
      <c r="H52" s="14" t="n">
        <v>1.071</v>
      </c>
    </row>
    <row r="53">
      <c r="A53" s="14" t="inlineStr">
        <is>
          <t>test_perfil.py</t>
        </is>
      </c>
      <c r="B53" s="14" t="inlineStr">
        <is>
          <t>test_ct_01_09_03_foto_recusa_arquivo_que_nao_e_imagem_mesmo_com_extensao_certa</t>
        </is>
      </c>
      <c r="C53" s="14" t="n">
        <v>1</v>
      </c>
      <c r="D53" s="14" t="inlineStr">
        <is>
          <t>CT-01.09-03</t>
        </is>
      </c>
      <c r="E53" s="14" t="inlineStr">
        <is>
          <t>Aprovado</t>
        </is>
      </c>
      <c r="F53" s="14" t="n">
        <v>1.375</v>
      </c>
      <c r="G53" s="14" t="inlineStr">
        <is>
          <t>Aprovado</t>
        </is>
      </c>
      <c r="H53" s="14" t="n">
        <v>0.9379999999999999</v>
      </c>
    </row>
    <row r="54">
      <c r="A54" s="14" t="inlineStr">
        <is>
          <t>test_perfil.py</t>
        </is>
      </c>
      <c r="B54" s="14" t="inlineStr">
        <is>
          <t>test_ct_01_09_03_foto_recusada_mantem_a_anterior</t>
        </is>
      </c>
      <c r="C54" s="14" t="n">
        <v>1</v>
      </c>
      <c r="D54" s="14" t="inlineStr">
        <is>
          <t>CT-01.09-03</t>
        </is>
      </c>
      <c r="E54" s="14" t="inlineStr">
        <is>
          <t>Aprovado</t>
        </is>
      </c>
      <c r="F54" s="14" t="n">
        <v>1.451</v>
      </c>
      <c r="G54" s="14" t="inlineStr">
        <is>
          <t>Aprovado</t>
        </is>
      </c>
      <c r="H54" s="14" t="n">
        <v>1.003</v>
      </c>
    </row>
    <row r="55">
      <c r="A55" s="14" t="inlineStr">
        <is>
          <t>test_perfil.py</t>
        </is>
      </c>
      <c r="B55" s="14" t="inlineStr">
        <is>
          <t>test_ct_01_09_04_aluno_nao_exclui_a_propria_conta</t>
        </is>
      </c>
      <c r="C55" s="14" t="n">
        <v>1</v>
      </c>
      <c r="D55" s="14" t="inlineStr">
        <is>
          <t>CT-01.09-04</t>
        </is>
      </c>
      <c r="E55" s="14" t="inlineStr">
        <is>
          <t>Aprovado</t>
        </is>
      </c>
      <c r="F55" s="14" t="n">
        <v>1.436</v>
      </c>
      <c r="G55" s="14" t="inlineStr">
        <is>
          <t>Aprovado</t>
        </is>
      </c>
      <c r="H55" s="14" t="n">
        <v>0.983</v>
      </c>
    </row>
    <row r="56">
      <c r="A56" s="14" t="inlineStr">
        <is>
          <t>test_perfil.py</t>
        </is>
      </c>
      <c r="B56" s="14" t="inlineStr">
        <is>
          <t>test_ct_01_09_05_e_01_10_05_ninguem_edita_o_perfil_de_outro</t>
        </is>
      </c>
      <c r="C56" s="14" t="n">
        <v>1</v>
      </c>
      <c r="D56" s="14" t="inlineStr">
        <is>
          <t>CT-01.09-05, CT-01.10-05</t>
        </is>
      </c>
      <c r="E56" s="14" t="inlineStr">
        <is>
          <t>Aprovado</t>
        </is>
      </c>
      <c r="F56" s="14" t="n">
        <v>1.481</v>
      </c>
      <c r="G56" s="14" t="inlineStr">
        <is>
          <t>Aprovado</t>
        </is>
      </c>
      <c r="H56" s="14" t="n">
        <v>1.156</v>
      </c>
    </row>
    <row r="57">
      <c r="A57" s="14" t="inlineStr">
        <is>
          <t>test_perfil.py</t>
        </is>
      </c>
      <c r="B57" s="14" t="inlineStr">
        <is>
          <t>test_ct_01_10_01_e_01_10_02_docente_edita_telefone_curso_e_areas</t>
        </is>
      </c>
      <c r="C57" s="14" t="n">
        <v>1</v>
      </c>
      <c r="D57" s="14" t="inlineStr">
        <is>
          <t>CT-01.10-01, CT-01.10-02</t>
        </is>
      </c>
      <c r="E57" s="14" t="inlineStr">
        <is>
          <t>Aprovado</t>
        </is>
      </c>
      <c r="F57" s="14" t="n">
        <v>1.426</v>
      </c>
      <c r="G57" s="14" t="inlineStr">
        <is>
          <t>Aprovado</t>
        </is>
      </c>
      <c r="H57" s="14" t="n">
        <v>1.098</v>
      </c>
    </row>
    <row r="58">
      <c r="A58" s="14" t="inlineStr">
        <is>
          <t>test_perfil.py</t>
        </is>
      </c>
      <c r="B58" s="14" t="inlineStr">
        <is>
          <t>test_ct_01_10_03_membro_da_banca_nao_escolhe_areas</t>
        </is>
      </c>
      <c r="C58" s="14" t="n">
        <v>1</v>
      </c>
      <c r="D58" s="14" t="inlineStr">
        <is>
          <t>CT-01.10-03</t>
        </is>
      </c>
      <c r="E58" s="14" t="inlineStr">
        <is>
          <t>Aprovado</t>
        </is>
      </c>
      <c r="F58" s="14" t="n">
        <v>1.401</v>
      </c>
      <c r="G58" s="14" t="inlineStr">
        <is>
          <t>Aprovado</t>
        </is>
      </c>
      <c r="H58" s="14" t="n">
        <v>1.332</v>
      </c>
    </row>
    <row r="59">
      <c r="A59" s="14" t="inlineStr">
        <is>
          <t>test_perfil.py</t>
        </is>
      </c>
      <c r="B59" s="14" t="inlineStr">
        <is>
          <t>test_ct_01_10_04_nome_e_email_so_a_coordenacao_altera</t>
        </is>
      </c>
      <c r="C59" s="14" t="n">
        <v>1</v>
      </c>
      <c r="D59" s="14" t="inlineStr">
        <is>
          <t>CT-01.10-04</t>
        </is>
      </c>
      <c r="E59" s="14" t="inlineStr">
        <is>
          <t>Aprovado</t>
        </is>
      </c>
      <c r="F59" s="14" t="n">
        <v>1.429</v>
      </c>
      <c r="G59" s="14" t="inlineStr">
        <is>
          <t>Aprovado</t>
        </is>
      </c>
      <c r="H59" s="14" t="n">
        <v>1.33</v>
      </c>
    </row>
    <row r="60">
      <c r="A60" s="14" t="inlineStr">
        <is>
          <t>test_perfil.py</t>
        </is>
      </c>
      <c r="B60" s="14" t="inlineStr">
        <is>
          <t>test_foto_acima_de_5_mb_e_recusada</t>
        </is>
      </c>
      <c r="C60" s="14" t="n">
        <v>1</v>
      </c>
      <c r="D60" s="14" t="inlineStr">
        <is>
          <t>complementar (sem CT na matriz)</t>
        </is>
      </c>
      <c r="E60" s="14" t="inlineStr">
        <is>
          <t>Aprovado</t>
        </is>
      </c>
      <c r="F60" s="14" t="n">
        <v>1.386</v>
      </c>
      <c r="G60" s="14" t="inlineStr">
        <is>
          <t>Aprovado</t>
        </is>
      </c>
      <c r="H60" s="14" t="n">
        <v>1.05</v>
      </c>
    </row>
    <row r="61">
      <c r="A61" s="14" t="inlineStr">
        <is>
          <t>test_perfil.py</t>
        </is>
      </c>
      <c r="B61" s="14" t="inlineStr">
        <is>
          <t>test_rbn0101_coordenacao_inclui_foto_do_docente</t>
        </is>
      </c>
      <c r="C61" s="14" t="n">
        <v>1</v>
      </c>
      <c r="D61" s="14" t="inlineStr">
        <is>
          <t>complementar (sem CT na matriz)</t>
        </is>
      </c>
      <c r="E61" s="14" t="inlineStr">
        <is>
          <t>Aprovado</t>
        </is>
      </c>
      <c r="F61" s="14" t="n">
        <v>1.221</v>
      </c>
      <c r="G61" s="14" t="inlineStr">
        <is>
          <t>Aprovado</t>
        </is>
      </c>
      <c r="H61" s="14" t="n">
        <v>0.844</v>
      </c>
    </row>
    <row r="62">
      <c r="A62" s="14" t="inlineStr">
        <is>
          <t>test_perfil.py</t>
        </is>
      </c>
      <c r="B62" s="14" t="inlineStr">
        <is>
          <t>test_rbn0104_troca_de_senha_encerra_as_outras_sessoes</t>
        </is>
      </c>
      <c r="C62" s="14" t="n">
        <v>1</v>
      </c>
      <c r="D62" s="14" t="inlineStr">
        <is>
          <t>complementar (sem CT na matriz)</t>
        </is>
      </c>
      <c r="E62" s="14" t="inlineStr">
        <is>
          <t>Aprovado</t>
        </is>
      </c>
      <c r="F62" s="14" t="n">
        <v>1.537</v>
      </c>
      <c r="G62" s="14" t="inlineStr">
        <is>
          <t>Aprovado</t>
        </is>
      </c>
      <c r="H62" s="14" t="n">
        <v>1.044</v>
      </c>
    </row>
    <row r="63">
      <c r="A63" s="14" t="inlineStr">
        <is>
          <t>test_perfil.py</t>
        </is>
      </c>
      <c r="B63" s="14" t="inlineStr">
        <is>
          <t>test_rbn0104_troca_de_senha_exige_a_atual_e_a_regra_de_complexidade</t>
        </is>
      </c>
      <c r="C63" s="14" t="n">
        <v>1</v>
      </c>
      <c r="D63" s="14" t="inlineStr">
        <is>
          <t>complementar (sem CT na matriz)</t>
        </is>
      </c>
      <c r="E63" s="14" t="inlineStr">
        <is>
          <t>Aprovado</t>
        </is>
      </c>
      <c r="F63" s="14" t="n">
        <v>2.498</v>
      </c>
      <c r="G63" s="14" t="inlineStr">
        <is>
          <t>Aprovado</t>
        </is>
      </c>
      <c r="H63" s="14" t="n">
        <v>1.612</v>
      </c>
    </row>
    <row r="64">
      <c r="A64" s="14" t="inlineStr">
        <is>
          <t>test_perfil.py</t>
        </is>
      </c>
      <c r="B64" s="14" t="inlineStr">
        <is>
          <t>test_scrum30_coordenador_nao_edita_curso</t>
        </is>
      </c>
      <c r="C64" s="14" t="n">
        <v>1</v>
      </c>
      <c r="D64" s="14" t="inlineStr">
        <is>
          <t>complementar (sem CT na matriz)</t>
        </is>
      </c>
      <c r="E64" s="14" t="inlineStr">
        <is>
          <t>Aprovado</t>
        </is>
      </c>
      <c r="F64" s="14" t="n">
        <v>1.153</v>
      </c>
      <c r="G64" s="14" t="inlineStr">
        <is>
          <t>Aprovado</t>
        </is>
      </c>
      <c r="H64" s="14" t="n">
        <v>0.739</v>
      </c>
    </row>
    <row r="65">
      <c r="A65" s="14" t="inlineStr">
        <is>
          <t>test_rotas_restantes.py</t>
        </is>
      </c>
      <c r="B65" s="14" t="inlineStr">
        <is>
          <t>test_catalogo_de_cursos_e_perfis_exige_login</t>
        </is>
      </c>
      <c r="C65" s="14" t="n">
        <v>1</v>
      </c>
      <c r="D65" s="14" t="inlineStr">
        <is>
          <t>complementar (sem CT na matriz)</t>
        </is>
      </c>
      <c r="E65" s="14" t="inlineStr">
        <is>
          <t>Aprovado</t>
        </is>
      </c>
      <c r="F65" s="14" t="n">
        <v>0.977</v>
      </c>
      <c r="G65" s="14" t="inlineStr">
        <is>
          <t>Aprovado</t>
        </is>
      </c>
      <c r="H65" s="14" t="n">
        <v>0.716</v>
      </c>
    </row>
    <row r="66">
      <c r="A66" s="14" t="inlineStr">
        <is>
          <t>test_rotas_restantes.py</t>
        </is>
      </c>
      <c r="B66" s="14" t="inlineStr">
        <is>
          <t>test_coordenacao_remove_a_foto_do_docente</t>
        </is>
      </c>
      <c r="C66" s="14" t="n">
        <v>1</v>
      </c>
      <c r="D66" s="14" t="inlineStr">
        <is>
          <t>complementar (sem CT na matriz)</t>
        </is>
      </c>
      <c r="E66" s="14" t="inlineStr">
        <is>
          <t>Aprovado</t>
        </is>
      </c>
      <c r="F66" s="14" t="n">
        <v>1.109</v>
      </c>
      <c r="G66" s="14" t="inlineStr">
        <is>
          <t>Aprovado</t>
        </is>
      </c>
      <c r="H66" s="14" t="n">
        <v>1.947</v>
      </c>
    </row>
    <row r="67">
      <c r="A67" s="14" t="inlineStr">
        <is>
          <t>test_rotas_restantes.py</t>
        </is>
      </c>
      <c r="B67" s="14" t="inlineStr">
        <is>
          <t>test_health_responde_sem_login</t>
        </is>
      </c>
      <c r="C67" s="14" t="n">
        <v>1</v>
      </c>
      <c r="D67" s="14" t="inlineStr">
        <is>
          <t>complementar (sem CT na matriz)</t>
        </is>
      </c>
      <c r="E67" s="14" t="inlineStr">
        <is>
          <t>Aprovado</t>
        </is>
      </c>
      <c r="F67" s="14" t="n">
        <v>0.72</v>
      </c>
      <c r="G67" s="14" t="inlineStr">
        <is>
          <t>Aprovado</t>
        </is>
      </c>
      <c r="H67" s="14" t="n">
        <v>0.582</v>
      </c>
    </row>
    <row r="68">
      <c r="A68" s="14" t="inlineStr">
        <is>
          <t>test_rotas_restantes.py</t>
        </is>
      </c>
      <c r="B68" s="14" t="inlineStr">
        <is>
          <t>test_lista_de_periodos_e_de_turmas</t>
        </is>
      </c>
      <c r="C68" s="14" t="n">
        <v>1</v>
      </c>
      <c r="D68" s="14" t="inlineStr">
        <is>
          <t>complementar (sem CT na matriz)</t>
        </is>
      </c>
      <c r="E68" s="14" t="inlineStr">
        <is>
          <t>Aprovado</t>
        </is>
      </c>
      <c r="F68" s="14" t="n">
        <v>2.828</v>
      </c>
      <c r="G68" s="14" t="inlineStr">
        <is>
          <t>Aprovado</t>
        </is>
      </c>
      <c r="H68" s="14" t="n">
        <v>1.744</v>
      </c>
    </row>
    <row r="69">
      <c r="A69" s="14" t="inlineStr">
        <is>
          <t>test_rotas_restantes.py</t>
        </is>
      </c>
      <c r="B69" s="14" t="inlineStr">
        <is>
          <t>test_orientador_abre_a_solicitacao_e_outro_docente_nao</t>
        </is>
      </c>
      <c r="C69" s="14" t="n">
        <v>1</v>
      </c>
      <c r="D69" s="14" t="inlineStr">
        <is>
          <t>complementar (sem CT na matriz)</t>
        </is>
      </c>
      <c r="E69" s="14" t="inlineStr">
        <is>
          <t>Aprovado</t>
        </is>
      </c>
      <c r="F69" s="14" t="n">
        <v>2.898</v>
      </c>
      <c r="G69" s="14" t="inlineStr">
        <is>
          <t>Aprovado</t>
        </is>
      </c>
      <c r="H69" s="14" t="n">
        <v>2.131</v>
      </c>
    </row>
    <row r="70">
      <c r="A70" s="14" t="inlineStr">
        <is>
          <t>test_rotas_restantes.py</t>
        </is>
      </c>
      <c r="B70" s="14" t="inlineStr">
        <is>
          <t>test_so_a_coordenacao_remove_foto_de_outra_pessoa</t>
        </is>
      </c>
      <c r="C70" s="14" t="n">
        <v>1</v>
      </c>
      <c r="D70" s="14" t="inlineStr">
        <is>
          <t>complementar (sem CT na matriz)</t>
        </is>
      </c>
      <c r="E70" s="14" t="inlineStr">
        <is>
          <t>Aprovado</t>
        </is>
      </c>
      <c r="F70" s="14" t="n">
        <v>2.754</v>
      </c>
      <c r="G70" s="14" t="inlineStr">
        <is>
          <t>Aprovado</t>
        </is>
      </c>
      <c r="H70" s="14" t="n">
        <v>3.522</v>
      </c>
    </row>
    <row r="71">
      <c r="A71" s="14" t="inlineStr">
        <is>
          <t>test_tcc.py</t>
        </is>
      </c>
      <c r="B71" s="14" t="inlineStr">
        <is>
          <t>test_ct_01_03_04_aluno_de_outro_curso_entra_e_mantem_o_curso</t>
        </is>
      </c>
      <c r="C71" s="14" t="n">
        <v>1</v>
      </c>
      <c r="D71" s="14" t="inlineStr">
        <is>
          <t>CT-01.03-04</t>
        </is>
      </c>
      <c r="E71" s="14" t="inlineStr">
        <is>
          <t>Aprovado</t>
        </is>
      </c>
      <c r="F71" s="14" t="n">
        <v>2.631</v>
      </c>
      <c r="G71" s="14" t="inlineStr">
        <is>
          <t>Aprovado</t>
        </is>
      </c>
      <c r="H71" s="14" t="n">
        <v>3.42</v>
      </c>
    </row>
    <row r="72">
      <c r="A72" s="14" t="inlineStr">
        <is>
          <t>test_tcc.py</t>
        </is>
      </c>
      <c r="B72" s="14" t="inlineStr">
        <is>
          <t>test_ct_03_01_01_formulario_traz_turma_orientadores_e_areas</t>
        </is>
      </c>
      <c r="C72" s="14" t="n">
        <v>1</v>
      </c>
      <c r="D72" s="14" t="inlineStr">
        <is>
          <t>CT-03.01-01</t>
        </is>
      </c>
      <c r="E72" s="14" t="inlineStr">
        <is>
          <t>Aprovado</t>
        </is>
      </c>
      <c r="F72" s="14" t="n">
        <v>2.094</v>
      </c>
      <c r="G72" s="14" t="inlineStr">
        <is>
          <t>Aprovado</t>
        </is>
      </c>
      <c r="H72" s="14" t="n">
        <v>2.017</v>
      </c>
    </row>
    <row r="73">
      <c r="A73" s="14" t="inlineStr">
        <is>
          <t>test_tcc.py</t>
        </is>
      </c>
      <c r="B73" s="14" t="inlineStr">
        <is>
          <t>test_ct_03_01_02_e_03_01_03_resumo_ate_500_palavras_e_ate_10_palavras_chave</t>
        </is>
      </c>
      <c r="C73" s="14" t="n">
        <v>1</v>
      </c>
      <c r="D73" s="14" t="inlineStr">
        <is>
          <t>CT-03.01-02, CT-03.01-03</t>
        </is>
      </c>
      <c r="E73" s="14" t="inlineStr">
        <is>
          <t>Aprovado</t>
        </is>
      </c>
      <c r="F73" s="14" t="n">
        <v>1.647</v>
      </c>
      <c r="G73" s="14" t="inlineStr">
        <is>
          <t>Aprovado</t>
        </is>
      </c>
      <c r="H73" s="14" t="n">
        <v>2.052</v>
      </c>
    </row>
    <row r="74">
      <c r="A74" s="14" t="inlineStr">
        <is>
          <t>test_tcc.py</t>
        </is>
      </c>
      <c r="B74" s="14" t="inlineStr">
        <is>
          <t>test_ct_03_01_04_e_03_04_02_e_06_01_01_rascunho_sem_protocolo_e_vinculo_pendente</t>
        </is>
      </c>
      <c r="C74" s="14" t="n">
        <v>1</v>
      </c>
      <c r="D74" s="14" t="inlineStr">
        <is>
          <t>CT-03.01-04, CT-03.01-05, CT-03.04-02, CT-06.01-01</t>
        </is>
      </c>
      <c r="E74" s="14" t="inlineStr">
        <is>
          <t>Aprovado</t>
        </is>
      </c>
      <c r="F74" s="14" t="n">
        <v>1.901</v>
      </c>
      <c r="G74" s="14" t="inlineStr">
        <is>
          <t>Aprovado</t>
        </is>
      </c>
      <c r="H74" s="14" t="n">
        <v>2.198</v>
      </c>
    </row>
    <row r="75">
      <c r="A75" s="14" t="inlineStr">
        <is>
          <t>test_tcc.py</t>
        </is>
      </c>
      <c r="B75" s="14" t="inlineStr">
        <is>
          <t>test_ct_03_01_08_editar_rascunho_audita_cada_campo</t>
        </is>
      </c>
      <c r="C75" s="14" t="n">
        <v>1</v>
      </c>
      <c r="D75" s="14" t="inlineStr">
        <is>
          <t>CT-03.01-08</t>
        </is>
      </c>
      <c r="E75" s="14" t="inlineStr">
        <is>
          <t>Aprovado</t>
        </is>
      </c>
      <c r="F75" s="14" t="n">
        <v>2.239</v>
      </c>
      <c r="G75" s="14" t="inlineStr">
        <is>
          <t>Aprovado</t>
        </is>
      </c>
      <c r="H75" s="14" t="n">
        <v>3.685</v>
      </c>
    </row>
    <row r="76">
      <c r="A76" s="14" t="inlineStr">
        <is>
          <t>test_tcc.py</t>
        </is>
      </c>
      <c r="B76" s="14" t="inlineStr">
        <is>
          <t>test_ct_03_02_03_e_03_02_04_artigo_publicado_exige_doi</t>
        </is>
      </c>
      <c r="C76" s="14" t="n">
        <v>1</v>
      </c>
      <c r="D76" s="14" t="inlineStr">
        <is>
          <t>CT-03.02-03, CT-03.02-04</t>
        </is>
      </c>
      <c r="E76" s="14" t="inlineStr">
        <is>
          <t>Aprovado</t>
        </is>
      </c>
      <c r="F76" s="14" t="n">
        <v>2.236</v>
      </c>
      <c r="G76" s="14" t="inlineStr">
        <is>
          <t>Aprovado</t>
        </is>
      </c>
      <c r="H76" s="14" t="n">
        <v>3.65</v>
      </c>
    </row>
    <row r="77">
      <c r="A77" s="14" t="inlineStr">
        <is>
          <t>test_tcc.py</t>
        </is>
      </c>
      <c r="B77" s="14" t="inlineStr">
        <is>
          <t>test_ct_03_03_01_e_03_03_06_e_03_04_01_submissao_gera_protocolo_unico_e_repetir_nao_duplica</t>
        </is>
      </c>
      <c r="C77" s="14" t="n">
        <v>1</v>
      </c>
      <c r="D77" s="14" t="inlineStr">
        <is>
          <t>CT-03.03-01, CT-03.03-05, CT-03.03-06, CT-03.03-08, CT-03.04-01, CT-03.04-03, CT-03.04-06</t>
        </is>
      </c>
      <c r="E77" s="14" t="inlineStr">
        <is>
          <t>Aprovado</t>
        </is>
      </c>
      <c r="F77" s="14" t="n">
        <v>2.427</v>
      </c>
      <c r="G77" s="14" t="inlineStr">
        <is>
          <t>Aprovado</t>
        </is>
      </c>
      <c r="H77" s="14" t="n">
        <v>2.276</v>
      </c>
    </row>
    <row r="78">
      <c r="A78" s="14" t="inlineStr">
        <is>
          <t>test_tcc.py</t>
        </is>
      </c>
      <c r="B78" s="14" t="inlineStr">
        <is>
          <t>test_ct_03_03_02_campos_obrigatorios</t>
        </is>
      </c>
      <c r="C78" s="14" t="n">
        <v>1</v>
      </c>
      <c r="D78" s="14" t="inlineStr">
        <is>
          <t>CT-03.03-02</t>
        </is>
      </c>
      <c r="E78" s="14" t="inlineStr">
        <is>
          <t>Aprovado</t>
        </is>
      </c>
      <c r="F78" s="14" t="n">
        <v>2.072</v>
      </c>
      <c r="G78" s="14" t="inlineStr">
        <is>
          <t>Aprovado</t>
        </is>
      </c>
      <c r="H78" s="14" t="n">
        <v>3.12</v>
      </c>
    </row>
    <row r="79">
      <c r="A79" s="14" t="inlineStr">
        <is>
          <t>test_tcc.py</t>
        </is>
      </c>
      <c r="B79" s="14" t="inlineStr">
        <is>
          <t>test_ct_03_03_03_desistente_nao_submete</t>
        </is>
      </c>
      <c r="C79" s="14" t="n">
        <v>1</v>
      </c>
      <c r="D79" s="14" t="inlineStr">
        <is>
          <t>CT-03.03-03</t>
        </is>
      </c>
      <c r="E79" s="14" t="inlineStr">
        <is>
          <t>Aprovado</t>
        </is>
      </c>
      <c r="F79" s="14" t="n">
        <v>2.039</v>
      </c>
      <c r="G79" s="14" t="inlineStr">
        <is>
          <t>Aprovado</t>
        </is>
      </c>
      <c r="H79" s="14" t="n">
        <v>3.813</v>
      </c>
    </row>
    <row r="80">
      <c r="A80" s="14" t="inlineStr">
        <is>
          <t>test_tcc.py</t>
        </is>
      </c>
      <c r="B80" s="14" t="inlineStr">
        <is>
          <t>test_ct_03_04_04_um_cadastro_por_periodo</t>
        </is>
      </c>
      <c r="C80" s="14" t="n">
        <v>1</v>
      </c>
      <c r="D80" s="14" t="inlineStr">
        <is>
          <t>CT-03.04-04</t>
        </is>
      </c>
      <c r="E80" s="14" t="inlineStr">
        <is>
          <t>Aprovado</t>
        </is>
      </c>
      <c r="F80" s="14" t="n">
        <v>1.939</v>
      </c>
      <c r="G80" s="14" t="inlineStr">
        <is>
          <t>Aprovado</t>
        </is>
      </c>
      <c r="H80" s="14" t="n">
        <v>2.243</v>
      </c>
    </row>
    <row r="81">
      <c r="A81" s="14" t="inlineStr">
        <is>
          <t>test_tcc.py</t>
        </is>
      </c>
      <c r="B81" s="14" t="inlineStr">
        <is>
          <t>test_ds_fl01b_e2_orientador_nao_elegivel</t>
        </is>
      </c>
      <c r="C81" s="14" t="n">
        <v>1</v>
      </c>
      <c r="D81" s="14" t="inlineStr">
        <is>
          <t>complementar (sem CT na matriz)</t>
        </is>
      </c>
      <c r="E81" s="14" t="inlineStr">
        <is>
          <t>Aprovado</t>
        </is>
      </c>
      <c r="F81" s="14" t="n">
        <v>2.094</v>
      </c>
      <c r="G81" s="14" t="inlineStr">
        <is>
          <t>Aprovado</t>
        </is>
      </c>
      <c r="H81" s="14" t="n">
        <v>2.777</v>
      </c>
    </row>
    <row r="82">
      <c r="A82" s="14" t="inlineStr">
        <is>
          <t>test_tcc.py</t>
        </is>
      </c>
      <c r="B82" s="14" t="inlineStr">
        <is>
          <t>test_ds_fl01b_em_analise_nao_edita</t>
        </is>
      </c>
      <c r="C82" s="14" t="n">
        <v>1</v>
      </c>
      <c r="D82" s="14" t="inlineStr">
        <is>
          <t>complementar (sem CT na matriz)</t>
        </is>
      </c>
      <c r="E82" s="14" t="inlineStr">
        <is>
          <t>Aprovado</t>
        </is>
      </c>
      <c r="F82" s="14" t="n">
        <v>2.022</v>
      </c>
      <c r="G82" s="14" t="inlineStr">
        <is>
          <t>Aprovado</t>
        </is>
      </c>
      <c r="H82" s="14" t="n">
        <v>3.563</v>
      </c>
    </row>
    <row r="83">
      <c r="A83" s="14" t="inlineStr">
        <is>
          <t>test_tcc.py</t>
        </is>
      </c>
      <c r="B83" s="14" t="inlineStr">
        <is>
          <t>test_ds_fl03_orientador_aceita_e_aluno_e_avisado</t>
        </is>
      </c>
      <c r="C83" s="14" t="n">
        <v>1</v>
      </c>
      <c r="D83" s="14" t="inlineStr">
        <is>
          <t>complementar (sem CT na matriz)</t>
        </is>
      </c>
      <c r="E83" s="14" t="inlineStr">
        <is>
          <t>Aprovado</t>
        </is>
      </c>
      <c r="F83" s="14" t="n">
        <v>2.228</v>
      </c>
      <c r="G83" s="14" t="inlineStr">
        <is>
          <t>Aprovado</t>
        </is>
      </c>
      <c r="H83" s="14" t="n">
        <v>3.724</v>
      </c>
    </row>
    <row r="84">
      <c r="A84" s="14" t="inlineStr">
        <is>
          <t>test_tcc.py</t>
        </is>
      </c>
      <c r="B84" s="14" t="inlineStr">
        <is>
          <t>test_ds_fl03_recusa_exige_motivo_e_nao_pode_responder_duas_vezes</t>
        </is>
      </c>
      <c r="C84" s="14" t="n">
        <v>1</v>
      </c>
      <c r="D84" s="14" t="inlineStr">
        <is>
          <t>complementar (sem CT na matriz)</t>
        </is>
      </c>
      <c r="E84" s="14" t="inlineStr">
        <is>
          <t>Aprovado</t>
        </is>
      </c>
      <c r="F84" s="14" t="n">
        <v>2.613</v>
      </c>
      <c r="G84" s="14" t="inlineStr">
        <is>
          <t>Aprovado</t>
        </is>
      </c>
      <c r="H84" s="14" t="n">
        <v>3.499</v>
      </c>
    </row>
    <row r="85">
      <c r="A85" s="14" t="inlineStr">
        <is>
          <t>test_tcc.py</t>
        </is>
      </c>
      <c r="B85" s="14" t="inlineStr">
        <is>
          <t>test_ds_fl03b_apos_recusa_aluno_indica_outro_orientador</t>
        </is>
      </c>
      <c r="C85" s="14" t="n">
        <v>1</v>
      </c>
      <c r="D85" s="14" t="inlineStr">
        <is>
          <t>complementar (sem CT na matriz)</t>
        </is>
      </c>
      <c r="E85" s="14" t="inlineStr">
        <is>
          <t>Aprovado</t>
        </is>
      </c>
      <c r="F85" s="14" t="n">
        <v>2.226</v>
      </c>
      <c r="G85" s="14" t="inlineStr">
        <is>
          <t>Aprovado</t>
        </is>
      </c>
      <c r="H85" s="14" t="n">
        <v>3.821</v>
      </c>
    </row>
    <row r="86">
      <c r="A86" s="14" t="inlineStr">
        <is>
          <t>test_tcc.py</t>
        </is>
      </c>
      <c r="B86" s="14" t="inlineStr">
        <is>
          <t>test_minhas_turmas_do_aluno_mostra_matricula_e_o_proprio_tcc</t>
        </is>
      </c>
      <c r="C86" s="14" t="n">
        <v>1</v>
      </c>
      <c r="D86" s="14" t="inlineStr">
        <is>
          <t>complementar (sem CT na matriz)</t>
        </is>
      </c>
      <c r="E86" s="14" t="inlineStr">
        <is>
          <t>Aprovado</t>
        </is>
      </c>
      <c r="F86" s="14" t="n">
        <v>2.075</v>
      </c>
      <c r="G86" s="14" t="inlineStr">
        <is>
          <t>Aprovado</t>
        </is>
      </c>
      <c r="H86" s="14" t="n">
        <v>3.024</v>
      </c>
    </row>
    <row r="87">
      <c r="A87" s="14" t="inlineStr">
        <is>
          <t>test_tcc.py</t>
        </is>
      </c>
      <c r="B87" s="14" t="inlineStr">
        <is>
          <t>test_minhas_turmas_do_professor_com_contagem_de_alunos_e_tccs</t>
        </is>
      </c>
      <c r="C87" s="14" t="n">
        <v>1</v>
      </c>
      <c r="D87" s="14" t="inlineStr">
        <is>
          <t>complementar (sem CT na matriz)</t>
        </is>
      </c>
      <c r="E87" s="14" t="inlineStr">
        <is>
          <t>Aprovado</t>
        </is>
      </c>
      <c r="F87" s="14" t="n">
        <v>3.243</v>
      </c>
      <c r="G87" s="14" t="inlineStr">
        <is>
          <t>Aprovado</t>
        </is>
      </c>
      <c r="H87" s="14" t="n">
        <v>3.99</v>
      </c>
    </row>
    <row r="88">
      <c r="A88" s="14" t="inlineStr">
        <is>
          <t>test_tcc.py</t>
        </is>
      </c>
      <c r="B88" s="14" t="inlineStr">
        <is>
          <t>test_minhas_turmas_so_mostra_ao_docente_as_turmas_que_ele_conduz</t>
        </is>
      </c>
      <c r="C88" s="14" t="n">
        <v>1</v>
      </c>
      <c r="D88" s="14" t="inlineStr">
        <is>
          <t>complementar (sem CT na matriz)</t>
        </is>
      </c>
      <c r="E88" s="14" t="inlineStr">
        <is>
          <t>Aprovado</t>
        </is>
      </c>
      <c r="F88" s="14" t="n">
        <v>2.342</v>
      </c>
      <c r="G88" s="14" t="inlineStr">
        <is>
          <t>Aprovado</t>
        </is>
      </c>
      <c r="H88" s="14" t="n">
        <v>3.284</v>
      </c>
    </row>
    <row r="89">
      <c r="A89" s="14" t="inlineStr">
        <is>
          <t>test_tcc.py</t>
        </is>
      </c>
      <c r="B89" s="14" t="inlineStr">
        <is>
          <t>test_rbn0303_nao_submete_sem_aceite_do_orientador</t>
        </is>
      </c>
      <c r="C89" s="14" t="n">
        <v>1</v>
      </c>
      <c r="D89" s="14" t="inlineStr">
        <is>
          <t>complementar (sem CT na matriz)</t>
        </is>
      </c>
      <c r="E89" s="14" t="inlineStr">
        <is>
          <t>Aprovado</t>
        </is>
      </c>
      <c r="F89" s="14" t="n">
        <v>2.594</v>
      </c>
      <c r="G89" s="14" t="inlineStr">
        <is>
          <t>Aprovado</t>
        </is>
      </c>
      <c r="H89" s="14" t="n">
        <v>3.205</v>
      </c>
    </row>
    <row r="90">
      <c r="A90" s="14" t="inlineStr">
        <is>
          <t>test_tcc.py</t>
        </is>
      </c>
      <c r="B90" s="14" t="inlineStr">
        <is>
          <t>test_rbn0305_devolvido_e_corrigido_mantem_o_protocolo</t>
        </is>
      </c>
      <c r="C90" s="14" t="n">
        <v>1</v>
      </c>
      <c r="D90" s="14" t="inlineStr">
        <is>
          <t>complementar (sem CT na matriz)</t>
        </is>
      </c>
      <c r="E90" s="14" t="inlineStr">
        <is>
          <t>Aprovado</t>
        </is>
      </c>
      <c r="F90" s="14" t="n">
        <v>2.352</v>
      </c>
      <c r="G90" s="14" t="inlineStr">
        <is>
          <t>Aprovado</t>
        </is>
      </c>
      <c r="H90" s="14" t="n">
        <v>4.102</v>
      </c>
    </row>
    <row r="91">
      <c r="A91" s="14" t="inlineStr">
        <is>
          <t>test_tcc.py</t>
        </is>
      </c>
      <c r="B91" s="14" t="inlineStr">
        <is>
          <t>test_rbn0501_listas_por_perfil</t>
        </is>
      </c>
      <c r="C91" s="14" t="n">
        <v>1</v>
      </c>
      <c r="D91" s="14" t="inlineStr">
        <is>
          <t>complementar (sem CT na matriz)</t>
        </is>
      </c>
      <c r="E91" s="14" t="inlineStr">
        <is>
          <t>Aprovado</t>
        </is>
      </c>
      <c r="F91" s="14" t="n">
        <v>1.918</v>
      </c>
      <c r="G91" s="14" t="inlineStr">
        <is>
          <t>Aprovado</t>
        </is>
      </c>
      <c r="H91" s="14" t="n">
        <v>3.753</v>
      </c>
    </row>
    <row r="92">
      <c r="A92" s="14" t="inlineStr">
        <is>
          <t>test_tcc.py</t>
        </is>
      </c>
      <c r="B92" s="14" t="inlineStr">
        <is>
          <t>test_rbn0801_so_a_coordenacao_cria_turma</t>
        </is>
      </c>
      <c r="C92" s="14" t="n">
        <v>1</v>
      </c>
      <c r="D92" s="14" t="inlineStr">
        <is>
          <t>complementar (sem CT na matriz)</t>
        </is>
      </c>
      <c r="E92" s="14" t="inlineStr">
        <is>
          <t>Aprovado</t>
        </is>
      </c>
      <c r="F92" s="14" t="n">
        <v>2.523</v>
      </c>
      <c r="G92" s="14" t="inlineStr">
        <is>
          <t>Aprovado</t>
        </is>
      </c>
      <c r="H92" s="14" t="n">
        <v>3.468</v>
      </c>
    </row>
    <row r="93">
      <c r="A93" s="14" t="inlineStr">
        <is>
          <t>test_tcc.py</t>
        </is>
      </c>
      <c r="B93" s="14" t="inlineStr">
        <is>
          <t>test_rbn0801_turma_criada_com_codigo_do_curso_e_periodo</t>
        </is>
      </c>
      <c r="C93" s="14" t="n">
        <v>1</v>
      </c>
      <c r="D93" s="14" t="inlineStr">
        <is>
          <t>complementar (sem CT na matriz)</t>
        </is>
      </c>
      <c r="E93" s="14" t="inlineStr">
        <is>
          <t>Aprovado</t>
        </is>
      </c>
      <c r="F93" s="14" t="n">
        <v>2.421</v>
      </c>
      <c r="G93" s="14" t="inlineStr">
        <is>
          <t>Aprovado</t>
        </is>
      </c>
      <c r="H93" s="14" t="n">
        <v>3.647</v>
      </c>
    </row>
    <row r="94">
      <c r="A94" s="14" t="inlineStr">
        <is>
          <t>test_tcc.py</t>
        </is>
      </c>
      <c r="B94" s="14" t="inlineStr">
        <is>
          <t>test_rn05_aluno_sem_matricula_nao_abre_nem_salva</t>
        </is>
      </c>
      <c r="C94" s="14" t="n">
        <v>1</v>
      </c>
      <c r="D94" s="14" t="inlineStr">
        <is>
          <t>complementar (sem CT na matriz)</t>
        </is>
      </c>
      <c r="E94" s="14" t="inlineStr">
        <is>
          <t>Aprovado</t>
        </is>
      </c>
      <c r="F94" s="14" t="n">
        <v>2.321</v>
      </c>
      <c r="G94" s="14" t="inlineStr">
        <is>
          <t>Aprovado</t>
        </is>
      </c>
      <c r="H94" s="14" t="n">
        <v>2.312</v>
      </c>
    </row>
    <row r="95">
      <c r="A95" s="14" t="inlineStr">
        <is>
          <t>test_tcc.py</t>
        </is>
      </c>
      <c r="B95" s="14" t="inlineStr">
        <is>
          <t>test_rn07_aluno_e_outro_docente_nao_abrem_a_turma</t>
        </is>
      </c>
      <c r="C95" s="14" t="n">
        <v>1</v>
      </c>
      <c r="D95" s="14" t="inlineStr">
        <is>
          <t>complementar (sem CT na matriz)</t>
        </is>
      </c>
      <c r="E95" s="14" t="inlineStr">
        <is>
          <t>Aprovado</t>
        </is>
      </c>
      <c r="F95" s="14" t="n">
        <v>2.192</v>
      </c>
      <c r="G95" s="14" t="inlineStr">
        <is>
          <t>Aprovado</t>
        </is>
      </c>
      <c r="H95" s="14" t="n">
        <v>2.257</v>
      </c>
    </row>
    <row r="96">
      <c r="A96" s="14" t="inlineStr">
        <is>
          <t>test_tcc.py</t>
        </is>
      </c>
      <c r="B96" s="14" t="inlineStr">
        <is>
          <t>test_rn07_orientador_so_responde_os_proprios_pedidos</t>
        </is>
      </c>
      <c r="C96" s="14" t="n">
        <v>1</v>
      </c>
      <c r="D96" s="14" t="inlineStr">
        <is>
          <t>complementar (sem CT na matriz)</t>
        </is>
      </c>
      <c r="E96" s="14" t="inlineStr">
        <is>
          <t>Aprovado</t>
        </is>
      </c>
      <c r="F96" s="14" t="n">
        <v>2.141</v>
      </c>
      <c r="G96" s="14" t="inlineStr">
        <is>
          <t>Aprovado</t>
        </is>
      </c>
      <c r="H96" s="14" t="n">
        <v>4.23</v>
      </c>
    </row>
    <row r="97">
      <c r="A97" s="14" t="inlineStr">
        <is>
          <t>test_tcc.py</t>
        </is>
      </c>
      <c r="B97" s="14" t="inlineStr">
        <is>
          <t>test_rn07_outro_aluno_nao_ve_nem_edita</t>
        </is>
      </c>
      <c r="C97" s="14" t="n">
        <v>1</v>
      </c>
      <c r="D97" s="14" t="inlineStr">
        <is>
          <t>complementar (sem CT na matriz)</t>
        </is>
      </c>
      <c r="E97" s="14" t="inlineStr">
        <is>
          <t>Aprovado</t>
        </is>
      </c>
      <c r="F97" s="14" t="n">
        <v>2.849</v>
      </c>
      <c r="G97" s="14" t="inlineStr">
        <is>
          <t>Aprovado</t>
        </is>
      </c>
      <c r="H97" s="14" t="n">
        <v>4.547</v>
      </c>
    </row>
    <row r="98">
      <c r="A98" s="14" t="inlineStr">
        <is>
          <t>test_usuarios.py</t>
        </is>
      </c>
      <c r="B98" s="14" t="inlineStr">
        <is>
          <t>test_ct_01_01_01_docente_nasce_inativo_e_sem_senha</t>
        </is>
      </c>
      <c r="C98" s="14" t="n">
        <v>1</v>
      </c>
      <c r="D98" s="14" t="inlineStr">
        <is>
          <t>CT-01.01-01</t>
        </is>
      </c>
      <c r="E98" s="14" t="inlineStr">
        <is>
          <t>Aprovado</t>
        </is>
      </c>
      <c r="F98" s="14" t="n">
        <v>0.806</v>
      </c>
      <c r="G98" s="14" t="inlineStr">
        <is>
          <t>Aprovado</t>
        </is>
      </c>
      <c r="H98" s="14" t="n">
        <v>1.54</v>
      </c>
    </row>
    <row r="99">
      <c r="A99" s="14" t="inlineStr">
        <is>
          <t>test_usuarios.py</t>
        </is>
      </c>
      <c r="B99" s="14" t="inlineStr">
        <is>
          <t>test_ct_01_01_02_campo_obrigatorio_vazio_responde_400</t>
        </is>
      </c>
      <c r="C99" s="14" t="n">
        <v>1</v>
      </c>
      <c r="D99" s="14" t="inlineStr">
        <is>
          <t>CT-01.01-02</t>
        </is>
      </c>
      <c r="E99" s="14" t="inlineStr">
        <is>
          <t>Aprovado</t>
        </is>
      </c>
      <c r="F99" s="14" t="n">
        <v>0.799</v>
      </c>
      <c r="G99" s="14" t="inlineStr">
        <is>
          <t>Aprovado</t>
        </is>
      </c>
      <c r="H99" s="14" t="n">
        <v>1.04</v>
      </c>
    </row>
    <row r="100">
      <c r="A100" s="14" t="inlineStr">
        <is>
          <t>test_usuarios.py</t>
        </is>
      </c>
      <c r="B100" s="14" t="inlineStr">
        <is>
          <t>test_ct_01_01_03_email_duplicado_ignora_maiusculas</t>
        </is>
      </c>
      <c r="C100" s="14" t="n">
        <v>1</v>
      </c>
      <c r="D100" s="14" t="inlineStr">
        <is>
          <t>CT-01.01-03</t>
        </is>
      </c>
      <c r="E100" s="14" t="inlineStr">
        <is>
          <t>Aprovado</t>
        </is>
      </c>
      <c r="F100" s="14" t="n">
        <v>0.994</v>
      </c>
      <c r="G100" s="14" t="inlineStr">
        <is>
          <t>Aprovado</t>
        </is>
      </c>
      <c r="H100" s="14" t="n">
        <v>1.175</v>
      </c>
    </row>
    <row r="101">
      <c r="A101" s="14" t="inlineStr">
        <is>
          <t>test_usuarios.py</t>
        </is>
      </c>
      <c r="B101" s="14" t="inlineStr">
        <is>
          <t>test_ct_01_01_05_coordenador_nao_exige_curso</t>
        </is>
      </c>
      <c r="C101" s="14" t="n">
        <v>1</v>
      </c>
      <c r="D101" s="14" t="inlineStr">
        <is>
          <t>CT-01.01-05</t>
        </is>
      </c>
      <c r="E101" s="14" t="inlineStr">
        <is>
          <t>Aprovado</t>
        </is>
      </c>
      <c r="F101" s="14" t="n">
        <v>0.843</v>
      </c>
      <c r="G101" s="14" t="inlineStr">
        <is>
          <t>Aprovado</t>
        </is>
      </c>
      <c r="H101" s="14" t="n">
        <v>1.382</v>
      </c>
    </row>
    <row r="102">
      <c r="A102" s="14" t="inlineStr">
        <is>
          <t>test_usuarios.py</t>
        </is>
      </c>
      <c r="B102" s="14" t="inlineStr">
        <is>
          <t>test_ct_01_01_06_quem_nao_e_coordenador_recebe_403</t>
        </is>
      </c>
      <c r="C102" s="14" t="n">
        <v>1</v>
      </c>
      <c r="D102" s="14" t="inlineStr">
        <is>
          <t>CT-01.01-06</t>
        </is>
      </c>
      <c r="E102" s="14" t="inlineStr">
        <is>
          <t>Aprovado</t>
        </is>
      </c>
      <c r="F102" s="14" t="n">
        <v>1.102</v>
      </c>
      <c r="G102" s="14" t="inlineStr">
        <is>
          <t>Aprovado</t>
        </is>
      </c>
      <c r="H102" s="14" t="n">
        <v>1.96</v>
      </c>
    </row>
    <row r="103">
      <c r="A103" s="14" t="inlineStr">
        <is>
          <t>test_usuarios.py</t>
        </is>
      </c>
      <c r="B103" s="14" t="inlineStr">
        <is>
          <t>test_ct_01_01_07_criacao_fica_no_log</t>
        </is>
      </c>
      <c r="C103" s="14" t="n">
        <v>1</v>
      </c>
      <c r="D103" s="14" t="inlineStr">
        <is>
          <t>CT-01.01-07</t>
        </is>
      </c>
      <c r="E103" s="14" t="inlineStr">
        <is>
          <t>Aprovado</t>
        </is>
      </c>
      <c r="F103" s="14" t="n">
        <v>0.854</v>
      </c>
      <c r="G103" s="14" t="inlineStr">
        <is>
          <t>Aprovado</t>
        </is>
      </c>
      <c r="H103" s="14" t="n">
        <v>1.489</v>
      </c>
    </row>
    <row r="104">
      <c r="A104" s="14" t="inlineStr">
        <is>
          <t>test_usuarios.py</t>
        </is>
      </c>
      <c r="B104" s="14" t="inlineStr">
        <is>
          <t>test_ct_01_03_01_aluno_nasce_sem_senha_com_perfil_aluno</t>
        </is>
      </c>
      <c r="C104" s="14" t="n">
        <v>1</v>
      </c>
      <c r="D104" s="14" t="inlineStr">
        <is>
          <t>CT-01.03-01</t>
        </is>
      </c>
      <c r="E104" s="14" t="inlineStr">
        <is>
          <t>Aprovado</t>
        </is>
      </c>
      <c r="F104" s="14" t="n">
        <v>1.155</v>
      </c>
      <c r="G104" s="14" t="inlineStr">
        <is>
          <t>Aprovado</t>
        </is>
      </c>
      <c r="H104" s="14" t="n">
        <v>1.055</v>
      </c>
    </row>
    <row r="105">
      <c r="A105" s="14" t="inlineStr">
        <is>
          <t>test_usuarios.py</t>
        </is>
      </c>
      <c r="B105" s="14" t="inlineStr">
        <is>
          <t>test_ct_01_03_03_indica_o_campo_duplicado</t>
        </is>
      </c>
      <c r="C105" s="14" t="n">
        <v>1</v>
      </c>
      <c r="D105" s="14" t="inlineStr">
        <is>
          <t>CT-01.03-03</t>
        </is>
      </c>
      <c r="E105" s="14" t="inlineStr">
        <is>
          <t>Aprovado</t>
        </is>
      </c>
      <c r="F105" s="14" t="n">
        <v>0.878</v>
      </c>
      <c r="G105" s="14" t="inlineStr">
        <is>
          <t>Aprovado</t>
        </is>
      </c>
      <c r="H105" s="14" t="n">
        <v>1.447</v>
      </c>
    </row>
    <row r="106">
      <c r="A106" s="14" t="inlineStr">
        <is>
          <t>test_usuarios.py</t>
        </is>
      </c>
      <c r="B106" s="14" t="inlineStr">
        <is>
          <t>test_ct_01_03_06_e_01_05_01_enfileira_ativacao_e_audita</t>
        </is>
      </c>
      <c r="C106" s="14" t="n">
        <v>1</v>
      </c>
      <c r="D106" s="14" t="inlineStr">
        <is>
          <t>CT-01.03-06, CT-01.05-01</t>
        </is>
      </c>
      <c r="E106" s="14" t="inlineStr">
        <is>
          <t>Aprovado</t>
        </is>
      </c>
      <c r="F106" s="14" t="n">
        <v>0.833</v>
      </c>
      <c r="G106" s="14" t="inlineStr">
        <is>
          <t>Aprovado</t>
        </is>
      </c>
      <c r="H106" s="14" t="n">
        <v>1.407</v>
      </c>
    </row>
    <row r="107">
      <c r="A107" s="14" t="inlineStr">
        <is>
          <t>test_usuarios.py</t>
        </is>
      </c>
      <c r="B107" s="14" t="inlineStr">
        <is>
          <t>test_ct_01_08_01_e_01_08_06_edicao_auditada_com_valor_anterior_e_novo</t>
        </is>
      </c>
      <c r="C107" s="14" t="n">
        <v>1</v>
      </c>
      <c r="D107" s="14" t="inlineStr">
        <is>
          <t>CT-01.08-01, CT-01.08-06</t>
        </is>
      </c>
      <c r="E107" s="14" t="inlineStr">
        <is>
          <t>Aprovado</t>
        </is>
      </c>
      <c r="F107" s="14" t="n">
        <v>0.923</v>
      </c>
      <c r="G107" s="14" t="inlineStr">
        <is>
          <t>Aprovado</t>
        </is>
      </c>
      <c r="H107" s="14" t="n">
        <v>1.17</v>
      </c>
    </row>
    <row r="108">
      <c r="A108" s="14" t="inlineStr">
        <is>
          <t>test_usuarios.py</t>
        </is>
      </c>
      <c r="B108" s="14" t="inlineStr">
        <is>
          <t>test_ct_01_08_02_email_ou_matricula_de_outra_pessoa</t>
        </is>
      </c>
      <c r="C108" s="14" t="n">
        <v>1</v>
      </c>
      <c r="D108" s="14" t="inlineStr">
        <is>
          <t>CT-01.08-02</t>
        </is>
      </c>
      <c r="E108" s="14" t="inlineStr">
        <is>
          <t>Aprovado</t>
        </is>
      </c>
      <c r="F108" s="14" t="n">
        <v>0.907</v>
      </c>
      <c r="G108" s="14" t="inlineStr">
        <is>
          <t>Aprovado</t>
        </is>
      </c>
      <c r="H108" s="14" t="n">
        <v>1.346</v>
      </c>
    </row>
    <row r="109">
      <c r="A109" s="14" t="inlineStr">
        <is>
          <t>test_usuarios.py</t>
        </is>
      </c>
      <c r="B109" s="14" t="inlineStr">
        <is>
          <t>test_ct_01_08_03_e_01_08_04_inativado_nao_entra_e_reativado_volta</t>
        </is>
      </c>
      <c r="C109" s="14" t="n">
        <v>1</v>
      </c>
      <c r="D109" s="14" t="inlineStr">
        <is>
          <t>CT-01.06-08, CT-01.08-03, CT-01.08-04</t>
        </is>
      </c>
      <c r="E109" s="14" t="inlineStr">
        <is>
          <t>Aprovado</t>
        </is>
      </c>
      <c r="F109" s="14" t="n">
        <v>1.389</v>
      </c>
      <c r="G109" s="14" t="inlineStr">
        <is>
          <t>Aprovado</t>
        </is>
      </c>
      <c r="H109" s="14" t="n">
        <v>2.326</v>
      </c>
    </row>
    <row r="110">
      <c r="A110" s="14" t="inlineStr">
        <is>
          <t>test_usuarios.py</t>
        </is>
      </c>
      <c r="B110" s="14" t="inlineStr">
        <is>
          <t>test_hu0101_ca6_ninguem_altera_os_proprios_perfis</t>
        </is>
      </c>
      <c r="C110" s="14" t="n">
        <v>1</v>
      </c>
      <c r="D110" s="14" t="inlineStr">
        <is>
          <t>complementar (sem CT na matriz)</t>
        </is>
      </c>
      <c r="E110" s="14" t="inlineStr">
        <is>
          <t>Aprovado</t>
        </is>
      </c>
      <c r="F110" s="14" t="n">
        <v>1.012</v>
      </c>
      <c r="G110" s="14" t="inlineStr">
        <is>
          <t>Aprovado</t>
        </is>
      </c>
      <c r="H110" s="14" t="n">
        <v>2.056</v>
      </c>
    </row>
    <row r="111">
      <c r="A111" s="14" t="inlineStr">
        <is>
          <t>test_usuarios.py</t>
        </is>
      </c>
      <c r="B111" s="14" t="inlineStr">
        <is>
          <t>test_hu0103_busca_e_filtro_por_curso</t>
        </is>
      </c>
      <c r="C111" s="14" t="n">
        <v>1</v>
      </c>
      <c r="D111" s="14" t="inlineStr">
        <is>
          <t>complementar (sem CT na matriz)</t>
        </is>
      </c>
      <c r="E111" s="14" t="inlineStr">
        <is>
          <t>Aprovado</t>
        </is>
      </c>
      <c r="F111" s="14" t="n">
        <v>0.976</v>
      </c>
      <c r="G111" s="14" t="inlineStr">
        <is>
          <t>Aprovado</t>
        </is>
      </c>
      <c r="H111" s="14" t="n">
        <v>1.325</v>
      </c>
    </row>
    <row r="112">
      <c r="A112" s="14" t="inlineStr">
        <is>
          <t>test_usuarios.py</t>
        </is>
      </c>
      <c r="B112" s="14" t="inlineStr">
        <is>
          <t>test_hu0103_e1_curso_fora_dos_contemplados</t>
        </is>
      </c>
      <c r="C112" s="14" t="n">
        <v>1</v>
      </c>
      <c r="D112" s="14" t="inlineStr">
        <is>
          <t>complementar (sem CT na matriz)</t>
        </is>
      </c>
      <c r="E112" s="14" t="inlineStr">
        <is>
          <t>Aprovado</t>
        </is>
      </c>
      <c r="F112" s="14" t="n">
        <v>1.028</v>
      </c>
      <c r="G112" s="14" t="inlineStr">
        <is>
          <t>Aprovado</t>
        </is>
      </c>
      <c r="H112" s="14" t="n">
        <v>1.016</v>
      </c>
    </row>
    <row r="113">
      <c r="A113" s="14" t="inlineStr">
        <is>
          <t>test_usuarios.py</t>
        </is>
      </c>
      <c r="B113" s="14" t="inlineStr">
        <is>
          <t>test_hu0108_ca4_nao_existe_rota_de_exclusao</t>
        </is>
      </c>
      <c r="C113" s="14" t="n">
        <v>1</v>
      </c>
      <c r="D113" s="14" t="inlineStr">
        <is>
          <t>complementar (sem CT na matriz)</t>
        </is>
      </c>
      <c r="E113" s="14" t="inlineStr">
        <is>
          <t>Aprovado</t>
        </is>
      </c>
      <c r="F113" s="14" t="n">
        <v>0.823</v>
      </c>
      <c r="G113" s="14" t="inlineStr">
        <is>
          <t>Aprovado</t>
        </is>
      </c>
      <c r="H113" s="14" t="n">
        <v>1.386</v>
      </c>
    </row>
    <row r="114">
      <c r="A114" s="14" t="inlineStr">
        <is>
          <t>test_usuarios.py</t>
        </is>
      </c>
      <c r="B114" s="14" t="inlineStr">
        <is>
          <t>test_hu0108_coordenador_nao_inativa_a_si_mesmo</t>
        </is>
      </c>
      <c r="C114" s="14" t="n">
        <v>1</v>
      </c>
      <c r="D114" s="14" t="inlineStr">
        <is>
          <t>complementar (sem CT na matriz)</t>
        </is>
      </c>
      <c r="E114" s="14" t="inlineStr">
        <is>
          <t>Aprovado</t>
        </is>
      </c>
      <c r="F114" s="14" t="n">
        <v>0.8149999999999999</v>
      </c>
      <c r="G114" s="14" t="inlineStr">
        <is>
          <t>Aprovado</t>
        </is>
      </c>
      <c r="H114" s="14" t="n">
        <v>1.54</v>
      </c>
    </row>
  </sheetData>
  <autoFilter ref="A1:H114"/>
  <conditionalFormatting sqref="E2:E114">
    <cfRule type="expression" priority="1" dxfId="0">
      <formula>$E2="Aprovado"</formula>
    </cfRule>
    <cfRule type="expression" priority="2" dxfId="1">
      <formula>$E2="Pendente"</formula>
    </cfRule>
    <cfRule type="expression" priority="3" dxfId="2">
      <formula>$E2="Reprovado"</formula>
    </cfRule>
    <cfRule type="expression" priority="4" dxfId="3">
      <formula>$E2="Não executado"</formula>
    </cfRule>
    <cfRule type="expression" priority="5" dxfId="1">
      <formula>$E2="Pulado"</formula>
    </cfRule>
  </conditionalFormatting>
  <conditionalFormatting sqref="G2:G114">
    <cfRule type="expression" priority="6" dxfId="0">
      <formula>$G2="Aprovado"</formula>
    </cfRule>
    <cfRule type="expression" priority="7" dxfId="1">
      <formula>$G2="Pendente"</formula>
    </cfRule>
    <cfRule type="expression" priority="8" dxfId="2">
      <formula>$G2="Reprovado"</formula>
    </cfRule>
    <cfRule type="expression" priority="9" dxfId="3">
      <formula>$G2="Não executado"</formula>
    </cfRule>
    <cfRule type="expression" priority="10" dxfId="1">
      <formula>$G2="Pulado"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2" customWidth="1" min="2" max="2"/>
    <col width="70" customWidth="1" min="3" max="3"/>
    <col width="22" customWidth="1" min="4" max="4"/>
    <col width="12" customWidth="1" min="5" max="5"/>
    <col width="24" customWidth="1" min="6" max="6"/>
  </cols>
  <sheetData>
    <row r="1">
      <c r="A1" s="13" t="inlineStr">
        <is>
          <t>Roteiro</t>
        </is>
      </c>
      <c r="B1" s="13" t="inlineStr">
        <is>
          <t>Arquivo</t>
        </is>
      </c>
      <c r="C1" s="13" t="inlineStr">
        <is>
          <t>Checagem</t>
        </is>
      </c>
      <c r="D1" s="13" t="inlineStr">
        <is>
          <t>CT(s)</t>
        </is>
      </c>
      <c r="E1" s="13" t="inlineStr">
        <is>
          <t>Resultado</t>
        </is>
      </c>
      <c r="F1" s="13" t="inlineStr">
        <is>
          <t>Evidência</t>
        </is>
      </c>
    </row>
    <row r="2">
      <c r="A2" s="14" t="inlineStr">
        <is>
          <t>Cadastro de TCC de ponta a ponta (aluno → orientador → aluno)</t>
        </is>
      </c>
      <c r="B2" s="14" t="inlineStr">
        <is>
          <t>docs/testes/e2e/cadastro_tcc.mjs</t>
        </is>
      </c>
      <c r="C2" s="14" t="inlineStr">
        <is>
          <t>aluno matriculado vê o convite para cadastrar (RBN08.01)</t>
        </is>
      </c>
      <c r="D2" s="14" t="inlineStr">
        <is>
          <t>—</t>
        </is>
      </c>
      <c r="E2" s="14" t="inlineStr">
        <is>
          <t>Aprovado</t>
        </is>
      </c>
      <c r="F2" s="14" t="inlineStr">
        <is>
          <t>e2e-cadastro_tcc.log</t>
        </is>
      </c>
    </row>
    <row r="3">
      <c r="A3" s="14" t="inlineStr">
        <is>
          <t>Cadastro de TCC de ponta a ponta (aluno → orientador → aluno)</t>
        </is>
      </c>
      <c r="B3" s="14" t="inlineStr">
        <is>
          <t>docs/testes/e2e/cadastro_tcc.mjs</t>
        </is>
      </c>
      <c r="C3" s="14" t="inlineStr">
        <is>
          <t>passo 1 valida campos obrigatórios</t>
        </is>
      </c>
      <c r="D3" s="14" t="inlineStr">
        <is>
          <t>—</t>
        </is>
      </c>
      <c r="E3" s="14" t="inlineStr">
        <is>
          <t>Aprovado</t>
        </is>
      </c>
      <c r="F3" s="14" t="inlineStr">
        <is>
          <t>e2e-cadastro_tcc.log</t>
        </is>
      </c>
    </row>
    <row r="4">
      <c r="A4" s="14" t="inlineStr">
        <is>
          <t>Cadastro de TCC de ponta a ponta (aluno → orientador → aluno)</t>
        </is>
      </c>
      <c r="B4" s="14" t="inlineStr">
        <is>
          <t>docs/testes/e2e/cadastro_tcc.mjs</t>
        </is>
      </c>
      <c r="C4" s="14" t="inlineStr">
        <is>
          <t>palavras-chave incluídas como chips</t>
        </is>
      </c>
      <c r="D4" s="14" t="inlineStr">
        <is>
          <t>—</t>
        </is>
      </c>
      <c r="E4" s="14" t="inlineStr">
        <is>
          <t>Aprovado</t>
        </is>
      </c>
      <c r="F4" s="14" t="inlineStr">
        <is>
          <t>e2e-cadastro_tcc.log</t>
        </is>
      </c>
    </row>
    <row r="5">
      <c r="A5" s="14" t="inlineStr">
        <is>
          <t>Cadastro de TCC de ponta a ponta (aluno → orientador → aluno)</t>
        </is>
      </c>
      <c r="B5" s="14" t="inlineStr">
        <is>
          <t>docs/testes/e2e/cadastro_tcc.mjs</t>
        </is>
      </c>
      <c r="C5" s="14" t="inlineStr">
        <is>
          <t>erro some ao corrigir o campo</t>
        </is>
      </c>
      <c r="D5" s="14" t="inlineStr">
        <is>
          <t>—</t>
        </is>
      </c>
      <c r="E5" s="14" t="inlineStr">
        <is>
          <t>Aprovado</t>
        </is>
      </c>
      <c r="F5" s="14" t="inlineStr">
        <is>
          <t>e2e-cadastro_tcc.log</t>
        </is>
      </c>
    </row>
    <row r="6">
      <c r="A6" s="14" t="inlineStr">
        <is>
          <t>Cadastro de TCC de ponta a ponta (aluno → orientador → aluno)</t>
        </is>
      </c>
      <c r="B6" s="14" t="inlineStr">
        <is>
          <t>docs/testes/e2e/cadastro_tcc.mjs</t>
        </is>
      </c>
      <c r="C6" s="14" t="inlineStr">
        <is>
          <t>rascunho salvo ao continuar (DS-FL01-B)</t>
        </is>
      </c>
      <c r="D6" s="14" t="inlineStr">
        <is>
          <t>CT-03.01-04</t>
        </is>
      </c>
      <c r="E6" s="14" t="inlineStr">
        <is>
          <t>Aprovado</t>
        </is>
      </c>
      <c r="F6" s="14" t="inlineStr">
        <is>
          <t>e2e-cadastro_tcc.log</t>
        </is>
      </c>
    </row>
    <row r="7">
      <c r="A7" s="14" t="inlineStr">
        <is>
          <t>Cadastro de TCC de ponta a ponta (aluno → orientador → aluno)</t>
        </is>
      </c>
      <c r="B7" s="14" t="inlineStr">
        <is>
          <t>docs/testes/e2e/cadastro_tcc.mjs</t>
        </is>
      </c>
      <c r="C7" s="14" t="inlineStr">
        <is>
          <t>pendência: orientador ainda não aceitou (RBN03.03)</t>
        </is>
      </c>
      <c r="D7" s="14" t="inlineStr">
        <is>
          <t>—</t>
        </is>
      </c>
      <c r="E7" s="14" t="inlineStr">
        <is>
          <t>Aprovado</t>
        </is>
      </c>
      <c r="F7" s="14" t="inlineStr">
        <is>
          <t>e2e-cadastro_tcc.log</t>
        </is>
      </c>
    </row>
    <row r="8">
      <c r="A8" s="14" t="inlineStr">
        <is>
          <t>Cadastro de TCC de ponta a ponta (aluno → orientador → aluno)</t>
        </is>
      </c>
      <c r="B8" s="14" t="inlineStr">
        <is>
          <t>docs/testes/e2e/cadastro_tcc.mjs</t>
        </is>
      </c>
      <c r="C8" s="14" t="inlineStr">
        <is>
          <t>envio bloqueado enquanto há pendências</t>
        </is>
      </c>
      <c r="D8" s="14" t="inlineStr">
        <is>
          <t>CT-06.01-03</t>
        </is>
      </c>
      <c r="E8" s="14" t="inlineStr">
        <is>
          <t>Aprovado</t>
        </is>
      </c>
      <c r="F8" s="14" t="inlineStr">
        <is>
          <t>e2e-cadastro_tcc.log</t>
        </is>
      </c>
    </row>
    <row r="9">
      <c r="A9" s="14" t="inlineStr">
        <is>
          <t>Cadastro de TCC de ponta a ponta (aluno → orientador → aluno)</t>
        </is>
      </c>
      <c r="B9" s="14" t="inlineStr">
        <is>
          <t>docs/testes/e2e/cadastro_tcc.mjs</t>
        </is>
      </c>
      <c r="C9" s="14" t="inlineStr">
        <is>
          <t>orientador vê o pedido pendente (DS-FL03)</t>
        </is>
      </c>
      <c r="D9" s="14" t="inlineStr">
        <is>
          <t>—</t>
        </is>
      </c>
      <c r="E9" s="14" t="inlineStr">
        <is>
          <t>Aprovado</t>
        </is>
      </c>
      <c r="F9" s="14" t="inlineStr">
        <is>
          <t>e2e-cadastro_tcc.log</t>
        </is>
      </c>
    </row>
    <row r="10">
      <c r="A10" s="14" t="inlineStr">
        <is>
          <t>Cadastro de TCC de ponta a ponta (aluno → orientador → aluno)</t>
        </is>
      </c>
      <c r="B10" s="14" t="inlineStr">
        <is>
          <t>docs/testes/e2e/cadastro_tcc.mjs</t>
        </is>
      </c>
      <c r="C10" s="14" t="inlineStr">
        <is>
          <t>orientador aceitou a orientação</t>
        </is>
      </c>
      <c r="D10" s="14" t="inlineStr">
        <is>
          <t>CT-06.01-01</t>
        </is>
      </c>
      <c r="E10" s="14" t="inlineStr">
        <is>
          <t>Aprovado</t>
        </is>
      </c>
      <c r="F10" s="14" t="inlineStr">
        <is>
          <t>e2e-cadastro_tcc.log</t>
        </is>
      </c>
    </row>
    <row r="11">
      <c r="A11" s="14" t="inlineStr">
        <is>
          <t>Cadastro de TCC de ponta a ponta (aluno → orientador → aluno)</t>
        </is>
      </c>
      <c r="B11" s="14" t="inlineStr">
        <is>
          <t>docs/testes/e2e/cadastro_tcc.mjs</t>
        </is>
      </c>
      <c r="C11" s="14" t="inlineStr">
        <is>
          <t>aluno vê o vínculo aceito</t>
        </is>
      </c>
      <c r="D11" s="14" t="inlineStr">
        <is>
          <t>—</t>
        </is>
      </c>
      <c r="E11" s="14" t="inlineStr">
        <is>
          <t>Aprovado</t>
        </is>
      </c>
      <c r="F11" s="14" t="inlineStr">
        <is>
          <t>e2e-cadastro_tcc.log</t>
        </is>
      </c>
    </row>
    <row r="12">
      <c r="A12" s="14" t="inlineStr">
        <is>
          <t>Cadastro de TCC de ponta a ponta (aluno → orientador → aluno)</t>
        </is>
      </c>
      <c r="B12" s="14" t="inlineStr">
        <is>
          <t>docs/testes/e2e/cadastro_tcc.mjs</t>
        </is>
      </c>
      <c r="C12" s="14" t="inlineStr">
        <is>
          <t>protocolo único gerado: TCC-2026-00001 (RBN03.04)</t>
        </is>
      </c>
      <c r="D12" s="14" t="inlineStr">
        <is>
          <t>CT-03.04-07, CT-03.03-08, CT-03.01-08, CT-03.04-01</t>
        </is>
      </c>
      <c r="E12" s="14" t="inlineStr">
        <is>
          <t>Aprovado</t>
        </is>
      </c>
      <c r="F12" s="14" t="inlineStr">
        <is>
          <t>e2e-cadastro_tcc.log</t>
        </is>
      </c>
    </row>
    <row r="13">
      <c r="A13" s="14" t="inlineStr">
        <is>
          <t>Cadastro de TCC de ponta a ponta (aluno → orientador → aluno)</t>
        </is>
      </c>
      <c r="B13" s="14" t="inlineStr">
        <is>
          <t>docs/testes/e2e/cadastro_tcc.mjs</t>
        </is>
      </c>
      <c r="C13" s="14" t="inlineStr">
        <is>
          <t>histórico registra a submissão (RNF03)</t>
        </is>
      </c>
      <c r="D13" s="14" t="inlineStr">
        <is>
          <t>CT-03.03-01</t>
        </is>
      </c>
      <c r="E13" s="14" t="inlineStr">
        <is>
          <t>Aprovado</t>
        </is>
      </c>
      <c r="F13" s="14" t="inlineStr">
        <is>
          <t>e2e-cadastro_tcc.log</t>
        </is>
      </c>
    </row>
    <row r="14">
      <c r="A14" s="14" t="inlineStr">
        <is>
          <t>Cadastro de TCC de ponta a ponta (aluno → orientador → aluno)</t>
        </is>
      </c>
      <c r="B14" s="14" t="inlineStr">
        <is>
          <t>docs/testes/e2e/cadastro_tcc.mjs</t>
        </is>
      </c>
      <c r="C14" s="14" t="inlineStr">
        <is>
          <t>cadastro em análise não é editável</t>
        </is>
      </c>
      <c r="D14" s="14" t="inlineStr">
        <is>
          <t>—</t>
        </is>
      </c>
      <c r="E14" s="14" t="inlineStr">
        <is>
          <t>Aprovado</t>
        </is>
      </c>
      <c r="F14" s="14" t="inlineStr">
        <is>
          <t>e2e-cadastro_tcc.log</t>
        </is>
      </c>
    </row>
    <row r="15">
      <c r="A15" s="14" t="inlineStr">
        <is>
          <t>Cadastro de TCC de ponta a ponta (aluno → orientador → aluno)</t>
        </is>
      </c>
      <c r="B15" s="14" t="inlineStr">
        <is>
          <t>docs/testes/e2e/cadastro_tcc.mjs</t>
        </is>
      </c>
      <c r="C15" s="14" t="inlineStr">
        <is>
          <t>sem botão de novo cadastro: um TCC por período (RN04)</t>
        </is>
      </c>
      <c r="D15" s="14" t="inlineStr">
        <is>
          <t>CT-03.04-04</t>
        </is>
      </c>
      <c r="E15" s="14" t="inlineStr">
        <is>
          <t>Aprovado</t>
        </is>
      </c>
      <c r="F15" s="14" t="inlineStr">
        <is>
          <t>e2e-cadastro_tcc.log</t>
        </is>
      </c>
    </row>
    <row r="16">
      <c r="A16" s="14" t="inlineStr">
        <is>
          <t>Cadastro de TCC de ponta a ponta (aluno → orientador → aluno)</t>
        </is>
      </c>
      <c r="B16" s="14" t="inlineStr">
        <is>
          <t>docs/testes/e2e/cadastro_tcc.mjs</t>
        </is>
      </c>
      <c r="C16" s="14" t="inlineStr">
        <is>
          <t>coordenação vê a turma com o aluno</t>
        </is>
      </c>
      <c r="D16" s="14" t="inlineStr">
        <is>
          <t>—</t>
        </is>
      </c>
      <c r="E16" s="14" t="inlineStr">
        <is>
          <t>Aprovado</t>
        </is>
      </c>
      <c r="F16" s="14" t="inlineStr">
        <is>
          <t>e2e-cadastro_tcc.log</t>
        </is>
      </c>
    </row>
    <row r="17">
      <c r="A17" s="14" t="inlineStr">
        <is>
          <t>Cadastro de TCC de ponta a ponta (aluno → orientador → aluno)</t>
        </is>
      </c>
      <c r="B17" s="14" t="inlineStr">
        <is>
          <t>docs/testes/e2e/cadastro_tcc.mjs</t>
        </is>
      </c>
      <c r="C17" s="14" t="inlineStr">
        <is>
          <t>turmas sem rolagem horizontal em 360 px (360)</t>
        </is>
      </c>
      <c r="D17" s="14" t="inlineStr">
        <is>
          <t>—</t>
        </is>
      </c>
      <c r="E17" s="14" t="inlineStr">
        <is>
          <t>Aprovado</t>
        </is>
      </c>
      <c r="F17" s="14" t="inlineStr">
        <is>
          <t>e2e-cadastro_tcc.log</t>
        </is>
      </c>
    </row>
    <row r="18">
      <c r="A18" s="14" t="inlineStr">
        <is>
          <t>Cadastro de TCC de ponta a ponta (aluno → orientador → aluno)</t>
        </is>
      </c>
      <c r="B18" s="14" t="inlineStr">
        <is>
          <t>docs/testes/e2e/cadastro_tcc.mjs</t>
        </is>
      </c>
      <c r="C18" s="14" t="inlineStr">
        <is>
          <t>coordenação vê o TCC enviado na lista</t>
        </is>
      </c>
      <c r="D18" s="14" t="inlineStr">
        <is>
          <t>—</t>
        </is>
      </c>
      <c r="E18" s="14" t="inlineStr">
        <is>
          <t>Aprovado</t>
        </is>
      </c>
      <c r="F18" s="14" t="inlineStr">
        <is>
          <t>e2e-cadastro_tcc.log</t>
        </is>
      </c>
    </row>
    <row r="19">
      <c r="A19" s="14" t="inlineStr">
        <is>
          <t>Cadastro de TCC de ponta a ponta (aluno → orientador → aluno)</t>
        </is>
      </c>
      <c r="B19" s="14" t="inlineStr">
        <is>
          <t>docs/testes/e2e/cadastro_tcc.mjs</t>
        </is>
      </c>
      <c r="C19" s="14" t="inlineStr">
        <is>
          <t>sem erros de JavaScript nas páginas</t>
        </is>
      </c>
      <c r="D19" s="14" t="inlineStr">
        <is>
          <t>—</t>
        </is>
      </c>
      <c r="E19" s="14" t="inlineStr">
        <is>
          <t>Aprovado</t>
        </is>
      </c>
      <c r="F19" s="14" t="inlineStr">
        <is>
          <t>e2e-cadastro_tcc.log</t>
        </is>
      </c>
    </row>
    <row r="20">
      <c r="A20" s="14" t="inlineStr">
        <is>
          <t>Casos de tela e responsividade (360 e 768 px)</t>
        </is>
      </c>
      <c r="B20" s="14" t="inlineStr">
        <is>
          <t>docs/testes/e2e/complementares.mjs</t>
        </is>
      </c>
      <c r="C20" s="14" t="inlineStr">
        <is>
          <t>login em 360 px sem rolagem horizontal (largura 360)</t>
        </is>
      </c>
      <c r="D20" s="14" t="inlineStr">
        <is>
          <t>CT-01.06-09</t>
        </is>
      </c>
      <c r="E20" s="14" t="inlineStr">
        <is>
          <t>Aprovado</t>
        </is>
      </c>
      <c r="F20" s="14" t="inlineStr">
        <is>
          <t>e2e-complementares.log</t>
        </is>
      </c>
    </row>
    <row r="21">
      <c r="A21" s="14" t="inlineStr">
        <is>
          <t>Casos de tela e responsividade (360 e 768 px)</t>
        </is>
      </c>
      <c r="B21" s="14" t="inlineStr">
        <is>
          <t>docs/testes/e2e/complementares.mjs</t>
        </is>
      </c>
      <c r="C21" s="14" t="inlineStr">
        <is>
          <t>login em 768 px sem rolagem horizontal (largura 768)</t>
        </is>
      </c>
      <c r="D21" s="14" t="inlineStr">
        <is>
          <t>CT-01.06-09</t>
        </is>
      </c>
      <c r="E21" s="14" t="inlineStr">
        <is>
          <t>Aprovado</t>
        </is>
      </c>
      <c r="F21" s="14" t="inlineStr">
        <is>
          <t>e2e-complementares.log</t>
        </is>
      </c>
    </row>
    <row r="22">
      <c r="A22" s="14" t="inlineStr">
        <is>
          <t>Casos de tela e responsividade (360 e 768 px)</t>
        </is>
      </c>
      <c r="B22" s="14" t="inlineStr">
        <is>
          <t>docs/testes/e2e/complementares.mjs</t>
        </is>
      </c>
      <c r="C22" s="14" t="inlineStr">
        <is>
          <t>login com campos vazios não é enviado e a tela marca o campo obrigatório</t>
        </is>
      </c>
      <c r="D22" s="14" t="inlineStr">
        <is>
          <t>CT-01.06-06</t>
        </is>
      </c>
      <c r="E22" s="14" t="inlineStr">
        <is>
          <t>Aprovado</t>
        </is>
      </c>
      <c r="F22" s="14" t="inlineStr">
        <is>
          <t>e2e-complementares.log</t>
        </is>
      </c>
    </row>
    <row r="23">
      <c r="A23" s="14" t="inlineStr">
        <is>
          <t>Casos de tela e responsividade (360 e 768 px)</t>
        </is>
      </c>
      <c r="B23" s="14" t="inlineStr">
        <is>
          <t>docs/testes/e2e/complementares.mjs</t>
        </is>
      </c>
      <c r="C23" s="14" t="inlineStr">
        <is>
          <t>coordenação cria a área "Computação Quântica" pela tela</t>
        </is>
      </c>
      <c r="D23" s="14" t="inlineStr">
        <is>
          <t>CT-01.02-01</t>
        </is>
      </c>
      <c r="E23" s="14" t="inlineStr">
        <is>
          <t>Aprovado</t>
        </is>
      </c>
      <c r="F23" s="14" t="inlineStr">
        <is>
          <t>e2e-complementares.log</t>
        </is>
      </c>
    </row>
    <row r="24">
      <c r="A24" s="14" t="inlineStr">
        <is>
          <t>Casos de tela e responsividade (360 e 768 px)</t>
        </is>
      </c>
      <c r="B24" s="14" t="inlineStr">
        <is>
          <t>docs/testes/e2e/complementares.mjs</t>
        </is>
      </c>
      <c r="C24" s="14" t="inlineStr">
        <is>
          <t>a área nova aparece e pode ser selecionada no cadastro de docente</t>
        </is>
      </c>
      <c r="D24" s="14" t="inlineStr">
        <is>
          <t>CT-01.02-01</t>
        </is>
      </c>
      <c r="E24" s="14" t="inlineStr">
        <is>
          <t>Aprovado</t>
        </is>
      </c>
      <c r="F24" s="14" t="inlineStr">
        <is>
          <t>e2e-complementares.log</t>
        </is>
      </c>
    </row>
    <row r="25">
      <c r="A25" s="14" t="inlineStr">
        <is>
          <t>Casos de tela e responsividade (360 e 768 px)</t>
        </is>
      </c>
      <c r="B25" s="14" t="inlineStr">
        <is>
          <t>docs/testes/e2e/complementares.mjs</t>
        </is>
      </c>
      <c r="C25" s="14" t="inlineStr">
        <is>
          <t>formulário de docente em 360 px sem rolagem horizontal (largura 360)</t>
        </is>
      </c>
      <c r="D25" s="14" t="inlineStr">
        <is>
          <t>CT-01.01-08</t>
        </is>
      </c>
      <c r="E25" s="14" t="inlineStr">
        <is>
          <t>Aprovado</t>
        </is>
      </c>
      <c r="F25" s="14" t="inlineStr">
        <is>
          <t>e2e-complementares.log</t>
        </is>
      </c>
    </row>
    <row r="26">
      <c r="A26" s="14" t="inlineStr">
        <is>
          <t>Casos de tela e responsividade (360 e 768 px)</t>
        </is>
      </c>
      <c r="B26" s="14" t="inlineStr">
        <is>
          <t>docs/testes/e2e/complementares.mjs</t>
        </is>
      </c>
      <c r="C26" s="14" t="inlineStr">
        <is>
          <t>formulário de docente em 768 px sem rolagem horizontal (largura 768)</t>
        </is>
      </c>
      <c r="D26" s="14" t="inlineStr">
        <is>
          <t>CT-01.01-08</t>
        </is>
      </c>
      <c r="E26" s="14" t="inlineStr">
        <is>
          <t>Aprovado</t>
        </is>
      </c>
      <c r="F26" s="14" t="inlineStr">
        <is>
          <t>e2e-complementares.log</t>
        </is>
      </c>
    </row>
    <row r="27">
      <c r="A27" s="14" t="inlineStr">
        <is>
          <t>Casos de tela e responsividade (360 e 768 px)</t>
        </is>
      </c>
      <c r="B27" s="14" t="inlineStr">
        <is>
          <t>docs/testes/e2e/complementares.mjs</t>
        </is>
      </c>
      <c r="C27" s="14" t="inlineStr">
        <is>
          <t>perfil do aluno em 360 px sem rolagem horizontal (largura 360)</t>
        </is>
      </c>
      <c r="D27" s="14" t="inlineStr">
        <is>
          <t>CT-01.09-06</t>
        </is>
      </c>
      <c r="E27" s="14" t="inlineStr">
        <is>
          <t>Aprovado</t>
        </is>
      </c>
      <c r="F27" s="14" t="inlineStr">
        <is>
          <t>e2e-complementares.log</t>
        </is>
      </c>
    </row>
    <row r="28">
      <c r="A28" s="14" t="inlineStr">
        <is>
          <t>Casos de tela e responsividade (360 e 768 px)</t>
        </is>
      </c>
      <c r="B28" s="14" t="inlineStr">
        <is>
          <t>docs/testes/e2e/complementares.mjs</t>
        </is>
      </c>
      <c r="C28" s="14" t="inlineStr">
        <is>
          <t>perfil do aluno em 768 px sem rolagem horizontal (largura 768)</t>
        </is>
      </c>
      <c r="D28" s="14" t="inlineStr">
        <is>
          <t>CT-01.09-06</t>
        </is>
      </c>
      <c r="E28" s="14" t="inlineStr">
        <is>
          <t>Aprovado</t>
        </is>
      </c>
      <c r="F28" s="14" t="inlineStr">
        <is>
          <t>e2e-complementares.log</t>
        </is>
      </c>
    </row>
    <row r="29">
      <c r="A29" s="14" t="inlineStr">
        <is>
          <t>Casos de tela e responsividade (360 e 768 px)</t>
        </is>
      </c>
      <c r="B29" s="14" t="inlineStr">
        <is>
          <t>docs/testes/e2e/complementares.mjs</t>
        </is>
      </c>
      <c r="C29" s="14" t="inlineStr">
        <is>
          <t>o perfil do membro da banca não oferece o campo de áreas de interesse</t>
        </is>
      </c>
      <c r="D29" s="14" t="inlineStr">
        <is>
          <t>CT-01.10-03</t>
        </is>
      </c>
      <c r="E29" s="14" t="inlineStr">
        <is>
          <t>Aprovado</t>
        </is>
      </c>
      <c r="F29" s="14" t="inlineStr">
        <is>
          <t>e2e-complementares.log</t>
        </is>
      </c>
    </row>
    <row r="30">
      <c r="A30" s="14" t="inlineStr">
        <is>
          <t>Casos de tela e responsividade (360 e 768 px)</t>
        </is>
      </c>
      <c r="B30" s="14" t="inlineStr">
        <is>
          <t>docs/testes/e2e/complementares.mjs</t>
        </is>
      </c>
      <c r="C30" s="14" t="inlineStr">
        <is>
          <t>o cadastro mostra turma, etapa e período vindos da turma da aluna</t>
        </is>
      </c>
      <c r="D30" s="14" t="inlineStr">
        <is>
          <t>CT-03.01-01</t>
        </is>
      </c>
      <c r="E30" s="14" t="inlineStr">
        <is>
          <t>Aprovado</t>
        </is>
      </c>
      <c r="F30" s="14" t="inlineStr">
        <is>
          <t>e2e-complementares.log</t>
        </is>
      </c>
    </row>
    <row r="31">
      <c r="A31" s="14" t="inlineStr">
        <is>
          <t>Casos de tela e responsividade (360 e 768 px)</t>
        </is>
      </c>
      <c r="B31" s="14" t="inlineStr">
        <is>
          <t>docs/testes/e2e/complementares.mjs</t>
        </is>
      </c>
      <c r="C31" s="14" t="inlineStr">
        <is>
          <t>sem modalidade artigo, os campos editoriais não aparecem</t>
        </is>
      </c>
      <c r="D31" s="14" t="inlineStr">
        <is>
          <t>CT-03.02-02</t>
        </is>
      </c>
      <c r="E31" s="14" t="inlineStr">
        <is>
          <t>Aprovado</t>
        </is>
      </c>
      <c r="F31" s="14" t="inlineStr">
        <is>
          <t>e2e-complementares.log</t>
        </is>
      </c>
    </row>
    <row r="32">
      <c r="A32" s="14" t="inlineStr">
        <is>
          <t>Casos de tela e responsividade (360 e 768 px)</t>
        </is>
      </c>
      <c r="B32" s="14" t="inlineStr">
        <is>
          <t>docs/testes/e2e/complementares.mjs</t>
        </is>
      </c>
      <c r="C32" s="14" t="inlineStr">
        <is>
          <t>com modalidade artigo aparecem veículo, tipo de veículo, situação editorial e DOI</t>
        </is>
      </c>
      <c r="D32" s="14" t="inlineStr">
        <is>
          <t>CT-03.02-01</t>
        </is>
      </c>
      <c r="E32" s="14" t="inlineStr">
        <is>
          <t>Aprovado</t>
        </is>
      </c>
      <c r="F32" s="14" t="inlineStr">
        <is>
          <t>e2e-complementares.log</t>
        </is>
      </c>
    </row>
    <row r="33">
      <c r="A33" s="14" t="inlineStr">
        <is>
          <t>Casos de tela e responsividade (360 e 768 px)</t>
        </is>
      </c>
      <c r="B33" s="14" t="inlineStr">
        <is>
          <t>docs/testes/e2e/complementares.mjs</t>
        </is>
      </c>
      <c r="C33" s="14" t="inlineStr">
        <is>
          <t>cadastro de TCC (artigo) em 360 px sem rolagem horizontal (largura 360)</t>
        </is>
      </c>
      <c r="D33" s="14" t="inlineStr">
        <is>
          <t>CT-03.01-07</t>
        </is>
      </c>
      <c r="E33" s="14" t="inlineStr">
        <is>
          <t>Aprovado</t>
        </is>
      </c>
      <c r="F33" s="14" t="inlineStr">
        <is>
          <t>e2e-complementares.log</t>
        </is>
      </c>
    </row>
    <row r="34">
      <c r="A34" s="14" t="inlineStr">
        <is>
          <t>Casos de tela e responsividade (360 e 768 px)</t>
        </is>
      </c>
      <c r="B34" s="14" t="inlineStr">
        <is>
          <t>docs/testes/e2e/complementares.mjs</t>
        </is>
      </c>
      <c r="C34" s="14" t="inlineStr">
        <is>
          <t>o rascunho de artigo guarda os dados editoriais</t>
        </is>
      </c>
      <c r="D34" s="14" t="inlineStr">
        <is>
          <t>CT-03.02-01</t>
        </is>
      </c>
      <c r="E34" s="14" t="inlineStr">
        <is>
          <t>Aprovado</t>
        </is>
      </c>
      <c r="F34" s="14" t="inlineStr">
        <is>
          <t>e2e-complementares.log</t>
        </is>
      </c>
    </row>
    <row r="35">
      <c r="A35" s="14" t="inlineStr">
        <is>
          <t>Casos de tela e responsividade (360 e 768 px)</t>
        </is>
      </c>
      <c r="B35" s="14" t="inlineStr">
        <is>
          <t>docs/testes/e2e/complementares.mjs</t>
        </is>
      </c>
      <c r="C35" s="14" t="inlineStr">
        <is>
          <t>ao trocar para monografia, os campos editoriais somem da tela</t>
        </is>
      </c>
      <c r="D35" s="14" t="inlineStr">
        <is>
          <t>CT-03.02-07</t>
        </is>
      </c>
      <c r="E35" s="14" t="inlineStr">
        <is>
          <t>Aprovado</t>
        </is>
      </c>
      <c r="F35" s="14" t="inlineStr">
        <is>
          <t>e2e-complementares.log</t>
        </is>
      </c>
    </row>
    <row r="36">
      <c r="A36" s="14" t="inlineStr">
        <is>
          <t>Casos de tela e responsividade (360 e 768 px)</t>
        </is>
      </c>
      <c r="B36" s="14" t="inlineStr">
        <is>
          <t>docs/testes/e2e/complementares.mjs</t>
        </is>
      </c>
      <c r="C36" s="14" t="inlineStr">
        <is>
          <t>depois da troca, o cadastro é monografia e não traz mais os dados do artigo</t>
        </is>
      </c>
      <c r="D36" s="14" t="inlineStr">
        <is>
          <t>CT-03.02-07</t>
        </is>
      </c>
      <c r="E36" s="14" t="inlineStr">
        <is>
          <t>Aprovado</t>
        </is>
      </c>
      <c r="F36" s="14" t="inlineStr">
        <is>
          <t>e2e-complementares.log</t>
        </is>
      </c>
    </row>
    <row r="37">
      <c r="A37" s="14" t="inlineStr">
        <is>
          <t>Casos de tela e responsividade (360 e 768 px)</t>
        </is>
      </c>
      <c r="B37" s="14" t="inlineStr">
        <is>
          <t>docs/testes/e2e/complementares.mjs</t>
        </is>
      </c>
      <c r="C37" s="14" t="inlineStr">
        <is>
          <t>cadastro de TCC (monografia) em 360 px sem rolagem horizontal (largura 360)</t>
        </is>
      </c>
      <c r="D37" s="14" t="inlineStr">
        <is>
          <t>CT-03.01-07</t>
        </is>
      </c>
      <c r="E37" s="14" t="inlineStr">
        <is>
          <t>Aprovado</t>
        </is>
      </c>
      <c r="F37" s="14" t="inlineStr">
        <is>
          <t>e2e-complementares.log</t>
        </is>
      </c>
    </row>
    <row r="38">
      <c r="A38" s="14" t="inlineStr">
        <is>
          <t>Casos de tela e responsividade (360 e 768 px)</t>
        </is>
      </c>
      <c r="B38" s="14" t="inlineStr">
        <is>
          <t>docs/testes/e2e/complementares.mjs</t>
        </is>
      </c>
      <c r="C38" s="14" t="inlineStr">
        <is>
          <t>cadastro de TCC em 768 px sem rolagem horizontal (largura 768)</t>
        </is>
      </c>
      <c r="D38" s="14" t="inlineStr">
        <is>
          <t>CT-03.01-07</t>
        </is>
      </c>
      <c r="E38" s="14" t="inlineStr">
        <is>
          <t>Aprovado</t>
        </is>
      </c>
      <c r="F38" s="14" t="inlineStr">
        <is>
          <t>e2e-complementares.log</t>
        </is>
      </c>
    </row>
    <row r="39">
      <c r="A39" s="14" t="inlineStr">
        <is>
          <t>Casos de tela e responsividade (360 e 768 px)</t>
        </is>
      </c>
      <c r="B39" s="14" t="inlineStr">
        <is>
          <t>docs/testes/e2e/complementares.mjs</t>
        </is>
      </c>
      <c r="C39" s="14" t="inlineStr">
        <is>
          <t>sem erros de JavaScript nas páginas</t>
        </is>
      </c>
      <c r="D39" s="14" t="inlineStr">
        <is>
          <t>—</t>
        </is>
      </c>
      <c r="E39" s="14" t="inlineStr">
        <is>
          <t>Aprovado</t>
        </is>
      </c>
      <c r="F39" s="14" t="inlineStr">
        <is>
          <t>e2e-complementares.log</t>
        </is>
      </c>
    </row>
    <row r="40">
      <c r="A40" s="14" t="inlineStr">
        <is>
          <t>Minhas turmas (professor, aluno e coordenação)</t>
        </is>
      </c>
      <c r="B40" s="14" t="inlineStr">
        <is>
          <t>docs/testes/e2e/minhas_turmas.mjs</t>
        </is>
      </c>
      <c r="C40" s="14" t="inlineStr">
        <is>
          <t>professor vê Minhas turmas no menu e o cartão da turma</t>
        </is>
      </c>
      <c r="D40" s="14" t="inlineStr">
        <is>
          <t>—</t>
        </is>
      </c>
      <c r="E40" s="14" t="inlineStr">
        <is>
          <t>Aprovado</t>
        </is>
      </c>
      <c r="F40" s="14" t="inlineStr">
        <is>
          <t>e2e-minhas_turmas.log</t>
        </is>
      </c>
    </row>
    <row r="41">
      <c r="A41" s="14" t="inlineStr">
        <is>
          <t>Minhas turmas (professor, aluno e coordenação)</t>
        </is>
      </c>
      <c r="B41" s="14" t="inlineStr">
        <is>
          <t>docs/testes/e2e/minhas_turmas.mjs</t>
        </is>
      </c>
      <c r="C41" s="14" t="inlineStr">
        <is>
          <t>cartão mostra alunos e quantos têm TCC</t>
        </is>
      </c>
      <c r="D41" s="14" t="inlineStr">
        <is>
          <t>—</t>
        </is>
      </c>
      <c r="E41" s="14" t="inlineStr">
        <is>
          <t>Aprovado</t>
        </is>
      </c>
      <c r="F41" s="14" t="inlineStr">
        <is>
          <t>e2e-minhas_turmas.log</t>
        </is>
      </c>
    </row>
    <row r="42">
      <c r="A42" s="14" t="inlineStr">
        <is>
          <t>Minhas turmas (professor, aluno e coordenação)</t>
        </is>
      </c>
      <c r="B42" s="14" t="inlineStr">
        <is>
          <t>docs/testes/e2e/minhas_turmas.mjs</t>
        </is>
      </c>
      <c r="C42" s="14" t="inlineStr">
        <is>
          <t>turma aberta lista os alunos</t>
        </is>
      </c>
      <c r="D42" s="14" t="inlineStr">
        <is>
          <t>—</t>
        </is>
      </c>
      <c r="E42" s="14" t="inlineStr">
        <is>
          <t>Aprovado</t>
        </is>
      </c>
      <c r="F42" s="14" t="inlineStr">
        <is>
          <t>e2e-minhas_turmas.log</t>
        </is>
      </c>
    </row>
    <row r="43">
      <c r="A43" s="14" t="inlineStr">
        <is>
          <t>Minhas turmas (professor, aluno e coordenação)</t>
        </is>
      </c>
      <c r="B43" s="14" t="inlineStr">
        <is>
          <t>docs/testes/e2e/minhas_turmas.mjs</t>
        </is>
      </c>
      <c r="C43" s="14" t="inlineStr">
        <is>
          <t>turma mostra o TCC e a situação de cada aluno</t>
        </is>
      </c>
      <c r="D43" s="14" t="inlineStr">
        <is>
          <t>—</t>
        </is>
      </c>
      <c r="E43" s="14" t="inlineStr">
        <is>
          <t>Aprovado</t>
        </is>
      </c>
      <c r="F43" s="14" t="inlineStr">
        <is>
          <t>e2e-minhas_turmas.log</t>
        </is>
      </c>
    </row>
    <row r="44">
      <c r="A44" s="14" t="inlineStr">
        <is>
          <t>Minhas turmas (professor, aluno e coordenação)</t>
        </is>
      </c>
      <c r="B44" s="14" t="inlineStr">
        <is>
          <t>docs/testes/e2e/minhas_turmas.mjs</t>
        </is>
      </c>
      <c r="C44" s="14" t="inlineStr">
        <is>
          <t>aluno vê o professor responsável</t>
        </is>
      </c>
      <c r="D44" s="14" t="inlineStr">
        <is>
          <t>—</t>
        </is>
      </c>
      <c r="E44" s="14" t="inlineStr">
        <is>
          <t>Aprovado</t>
        </is>
      </c>
      <c r="F44" s="14" t="inlineStr">
        <is>
          <t>e2e-minhas_turmas.log</t>
        </is>
      </c>
    </row>
    <row r="45">
      <c r="A45" s="14" t="inlineStr">
        <is>
          <t>Minhas turmas (professor, aluno e coordenação)</t>
        </is>
      </c>
      <c r="B45" s="14" t="inlineStr">
        <is>
          <t>docs/testes/e2e/minhas_turmas.mjs</t>
        </is>
      </c>
      <c r="C45" s="14" t="inlineStr">
        <is>
          <t>aluno vê a situação da matrícula</t>
        </is>
      </c>
      <c r="D45" s="14" t="inlineStr">
        <is>
          <t>—</t>
        </is>
      </c>
      <c r="E45" s="14" t="inlineStr">
        <is>
          <t>Aprovado</t>
        </is>
      </c>
      <c r="F45" s="14" t="inlineStr">
        <is>
          <t>e2e-minhas_turmas.log</t>
        </is>
      </c>
    </row>
    <row r="46">
      <c r="A46" s="14" t="inlineStr">
        <is>
          <t>Minhas turmas (professor, aluno e coordenação)</t>
        </is>
      </c>
      <c r="B46" s="14" t="inlineStr">
        <is>
          <t>docs/testes/e2e/minhas_turmas.mjs</t>
        </is>
      </c>
      <c r="C46" s="14" t="inlineStr">
        <is>
          <t>aluno tem atalho para o próprio TCC</t>
        </is>
      </c>
      <c r="D46" s="14" t="inlineStr">
        <is>
          <t>—</t>
        </is>
      </c>
      <c r="E46" s="14" t="inlineStr">
        <is>
          <t>Aprovado</t>
        </is>
      </c>
      <c r="F46" s="14" t="inlineStr">
        <is>
          <t>e2e-minhas_turmas.log</t>
        </is>
      </c>
    </row>
    <row r="47">
      <c r="A47" s="14" t="inlineStr">
        <is>
          <t>Minhas turmas (professor, aluno e coordenação)</t>
        </is>
      </c>
      <c r="B47" s="14" t="inlineStr">
        <is>
          <t>docs/testes/e2e/minhas_turmas.mjs</t>
        </is>
      </c>
      <c r="C47" s="14" t="inlineStr">
        <is>
          <t>aluno não abre a turma (não vê os colegas)</t>
        </is>
      </c>
      <c r="D47" s="14" t="inlineStr">
        <is>
          <t>—</t>
        </is>
      </c>
      <c r="E47" s="14" t="inlineStr">
        <is>
          <t>Aprovado</t>
        </is>
      </c>
      <c r="F47" s="14" t="inlineStr">
        <is>
          <t>e2e-minhas_turmas.log</t>
        </is>
      </c>
    </row>
    <row r="48">
      <c r="A48" s="14" t="inlineStr">
        <is>
          <t>Minhas turmas (professor, aluno e coordenação)</t>
        </is>
      </c>
      <c r="B48" s="14" t="inlineStr">
        <is>
          <t>docs/testes/e2e/minhas_turmas.mjs</t>
        </is>
      </c>
      <c r="C48" s="14" t="inlineStr">
        <is>
          <t>coordenação não vê item duplicado</t>
        </is>
      </c>
      <c r="D48" s="14" t="inlineStr">
        <is>
          <t>—</t>
        </is>
      </c>
      <c r="E48" s="14" t="inlineStr">
        <is>
          <t>Aprovado</t>
        </is>
      </c>
      <c r="F48" s="14" t="inlineStr">
        <is>
          <t>e2e-minhas_turmas.log</t>
        </is>
      </c>
    </row>
    <row r="49">
      <c r="A49" s="14" t="inlineStr">
        <is>
          <t>Minhas turmas (professor, aluno e coordenação)</t>
        </is>
      </c>
      <c r="B49" s="14" t="inlineStr">
        <is>
          <t>docs/testes/e2e/minhas_turmas.mjs</t>
        </is>
      </c>
      <c r="C49" s="14" t="inlineStr">
        <is>
          <t>coordenação continua com a gestão de turmas</t>
        </is>
      </c>
      <c r="D49" s="14" t="inlineStr">
        <is>
          <t>—</t>
        </is>
      </c>
      <c r="E49" s="14" t="inlineStr">
        <is>
          <t>Aprovado</t>
        </is>
      </c>
      <c r="F49" s="14" t="inlineStr">
        <is>
          <t>e2e-minhas_turmas.log</t>
        </is>
      </c>
    </row>
    <row r="50">
      <c r="A50" s="14" t="inlineStr">
        <is>
          <t>Minhas turmas (professor, aluno e coordenação)</t>
        </is>
      </c>
      <c r="B50" s="14" t="inlineStr">
        <is>
          <t>docs/testes/e2e/minhas_turmas.mjs</t>
        </is>
      </c>
      <c r="C50" s="14" t="inlineStr">
        <is>
          <t>sem rolagem horizontal em 360 px (360, 360)</t>
        </is>
      </c>
      <c r="D50" s="14" t="inlineStr">
        <is>
          <t>—</t>
        </is>
      </c>
      <c r="E50" s="14" t="inlineStr">
        <is>
          <t>Aprovado</t>
        </is>
      </c>
      <c r="F50" s="14" t="inlineStr">
        <is>
          <t>e2e-minhas_turmas.log</t>
        </is>
      </c>
    </row>
    <row r="51">
      <c r="A51" s="14" t="inlineStr">
        <is>
          <t>Minhas turmas (professor, aluno e coordenação)</t>
        </is>
      </c>
      <c r="B51" s="14" t="inlineStr">
        <is>
          <t>docs/testes/e2e/minhas_turmas.mjs</t>
        </is>
      </c>
      <c r="C51" s="14" t="inlineStr">
        <is>
          <t>sem erros de JavaScript</t>
        </is>
      </c>
      <c r="D51" s="14" t="inlineStr">
        <is>
          <t>—</t>
        </is>
      </c>
      <c r="E51" s="14" t="inlineStr">
        <is>
          <t>Aprovado</t>
        </is>
      </c>
      <c r="F51" s="14" t="inlineStr">
        <is>
          <t>e2e-minhas_turmas.log</t>
        </is>
      </c>
    </row>
    <row r="52">
      <c r="A52" s="14" t="inlineStr">
        <is>
          <t>Cadastro de aluna, ativação e Salvar rascunho</t>
        </is>
      </c>
      <c r="B52" s="14" t="inlineStr">
        <is>
          <t>docs/testes/e2e/salvar_rascunho.mjs</t>
        </is>
      </c>
      <c r="C52" s="14" t="inlineStr">
        <is>
          <t>coordenação entra pela API</t>
        </is>
      </c>
      <c r="D52" s="14" t="inlineStr">
        <is>
          <t>—</t>
        </is>
      </c>
      <c r="E52" s="14" t="inlineStr">
        <is>
          <t>Aprovado</t>
        </is>
      </c>
      <c r="F52" s="14" t="inlineStr">
        <is>
          <t>e2e-salvar_rascunho.log</t>
        </is>
      </c>
    </row>
    <row r="53">
      <c r="A53" s="14" t="inlineStr">
        <is>
          <t>Cadastro de aluna, ativação e Salvar rascunho</t>
        </is>
      </c>
      <c r="B53" s="14" t="inlineStr">
        <is>
          <t>docs/testes/e2e/salvar_rascunho.mjs</t>
        </is>
      </c>
      <c r="C53" s="14" t="inlineStr">
        <is>
          <t>coordenação cadastra a aluna (RBN01.03)</t>
        </is>
      </c>
      <c r="D53" s="14" t="inlineStr">
        <is>
          <t>CT-01.03-01</t>
        </is>
      </c>
      <c r="E53" s="14" t="inlineStr">
        <is>
          <t>Aprovado</t>
        </is>
      </c>
      <c r="F53" s="14" t="inlineStr">
        <is>
          <t>e2e-salvar_rascunho.log</t>
        </is>
      </c>
    </row>
    <row r="54">
      <c r="A54" s="14" t="inlineStr">
        <is>
          <t>Cadastro de aluna, ativação e Salvar rascunho</t>
        </is>
      </c>
      <c r="B54" s="14" t="inlineStr">
        <is>
          <t>docs/testes/e2e/salvar_rascunho.mjs</t>
        </is>
      </c>
      <c r="C54" s="14" t="inlineStr">
        <is>
          <t>coordenação inclui a aluna na turma (RBN08.02)</t>
        </is>
      </c>
      <c r="D54" s="14" t="inlineStr">
        <is>
          <t>—</t>
        </is>
      </c>
      <c r="E54" s="14" t="inlineStr">
        <is>
          <t>Aprovado</t>
        </is>
      </c>
      <c r="F54" s="14" t="inlineStr">
        <is>
          <t>e2e-salvar_rascunho.log</t>
        </is>
      </c>
    </row>
    <row r="55">
      <c r="A55" s="14" t="inlineStr">
        <is>
          <t>Cadastro de aluna, ativação e Salvar rascunho</t>
        </is>
      </c>
      <c r="B55" s="14" t="inlineStr">
        <is>
          <t>docs/testes/e2e/salvar_rascunho.mjs</t>
        </is>
      </c>
      <c r="C55" s="14" t="inlineStr">
        <is>
          <t>link de ativação gerado (RBN01.05)</t>
        </is>
      </c>
      <c r="D55" s="14" t="inlineStr">
        <is>
          <t>—</t>
        </is>
      </c>
      <c r="E55" s="14" t="inlineStr">
        <is>
          <t>Aprovado</t>
        </is>
      </c>
      <c r="F55" s="14" t="inlineStr">
        <is>
          <t>e2e-salvar_rascunho.log</t>
        </is>
      </c>
    </row>
    <row r="56">
      <c r="A56" s="14" t="inlineStr">
        <is>
          <t>Cadastro de aluna, ativação e Salvar rascunho</t>
        </is>
      </c>
      <c r="B56" s="14" t="inlineStr">
        <is>
          <t>docs/testes/e2e/salvar_rascunho.mjs</t>
        </is>
      </c>
      <c r="C56" s="14" t="inlineStr">
        <is>
          <t>aluna ativa a conta e volta para o login</t>
        </is>
      </c>
      <c r="D56" s="14" t="inlineStr">
        <is>
          <t>CT-01.05-02, CT-01.04-01</t>
        </is>
      </c>
      <c r="E56" s="14" t="inlineStr">
        <is>
          <t>Aprovado</t>
        </is>
      </c>
      <c r="F56" s="14" t="inlineStr">
        <is>
          <t>e2e-salvar_rascunho.log</t>
        </is>
      </c>
    </row>
    <row r="57">
      <c r="A57" s="14" t="inlineStr">
        <is>
          <t>Cadastro de aluna, ativação e Salvar rascunho</t>
        </is>
      </c>
      <c r="B57" s="14" t="inlineStr">
        <is>
          <t>docs/testes/e2e/salvar_rascunho.mjs</t>
        </is>
      </c>
      <c r="C57" s="14" t="inlineStr">
        <is>
          <t>Salvar rascunho mantém a aluna no cadastro (RBN03.01)</t>
        </is>
      </c>
      <c r="D57" s="14" t="inlineStr">
        <is>
          <t>CT-03.01-04</t>
        </is>
      </c>
      <c r="E57" s="14" t="inlineStr">
        <is>
          <t>Aprovado</t>
        </is>
      </c>
      <c r="F57" s="14" t="inlineStr">
        <is>
          <t>e2e-salvar_rascunho.log</t>
        </is>
      </c>
    </row>
    <row r="58">
      <c r="A58" s="14" t="inlineStr">
        <is>
          <t>Cadastro de aluna, ativação e Salvar rascunho</t>
        </is>
      </c>
      <c r="B58" s="14" t="inlineStr">
        <is>
          <t>docs/testes/e2e/salvar_rascunho.mjs</t>
        </is>
      </c>
      <c r="C58" s="14" t="inlineStr">
        <is>
          <t>continua no mesmo passo</t>
        </is>
      </c>
      <c r="D58" s="14" t="inlineStr">
        <is>
          <t>—</t>
        </is>
      </c>
      <c r="E58" s="14" t="inlineStr">
        <is>
          <t>Aprovado</t>
        </is>
      </c>
      <c r="F58" s="14" t="inlineStr">
        <is>
          <t>e2e-salvar_rascunho.log</t>
        </is>
      </c>
    </row>
    <row r="59">
      <c r="A59" s="14" t="inlineStr">
        <is>
          <t>Cadastro de aluna, ativação e Salvar rascunho</t>
        </is>
      </c>
      <c r="B59" s="14" t="inlineStr">
        <is>
          <t>docs/testes/e2e/salvar_rascunho.mjs</t>
        </is>
      </c>
      <c r="C59" s="14" t="inlineStr">
        <is>
          <t>rascunho aparece na lista, sem protocolo (CA-03)</t>
        </is>
      </c>
      <c r="D59" s="14" t="inlineStr">
        <is>
          <t>CT-03.04-02</t>
        </is>
      </c>
      <c r="E59" s="14" t="inlineStr">
        <is>
          <t>Aprovado</t>
        </is>
      </c>
      <c r="F59" s="14" t="inlineStr">
        <is>
          <t>e2e-salvar_rascunho.log</t>
        </is>
      </c>
    </row>
    <row r="60">
      <c r="A60" s="14" t="inlineStr">
        <is>
          <t>Cadastro de aluna, ativação e Salvar rascunho</t>
        </is>
      </c>
      <c r="B60" s="14" t="inlineStr">
        <is>
          <t>docs/testes/e2e/salvar_rascunho.mjs</t>
        </is>
      </c>
      <c r="C60" s="14" t="inlineStr">
        <is>
          <t>sem erros de JavaScript</t>
        </is>
      </c>
      <c r="D60" s="14" t="inlineStr">
        <is>
          <t>—</t>
        </is>
      </c>
      <c r="E60" s="14" t="inlineStr">
        <is>
          <t>Aprovado</t>
        </is>
      </c>
      <c r="F60" s="14" t="inlineStr">
        <is>
          <t>e2e-salvar_rascunho.log</t>
        </is>
      </c>
    </row>
  </sheetData>
  <autoFilter ref="A1:F60"/>
  <conditionalFormatting sqref="E2:E60">
    <cfRule type="expression" priority="1" dxfId="0">
      <formula>$E2="Aprovado"</formula>
    </cfRule>
    <cfRule type="expression" priority="2" dxfId="1">
      <formula>$E2="Pendente"</formula>
    </cfRule>
    <cfRule type="expression" priority="3" dxfId="2">
      <formula>$E2="Reprovado"</formula>
    </cfRule>
    <cfRule type="expression" priority="4" dxfId="3">
      <formula>$E2="Não executado"</formula>
    </cfRule>
    <cfRule type="expression" priority="5" dxfId="1">
      <formula>$E2="Pulado"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48" customWidth="1" min="3" max="3"/>
  </cols>
  <sheetData>
    <row r="1">
      <c r="A1" s="15" t="inlineStr">
        <is>
          <t>Teste de carga do cadastro de TCC (RNF01, CT-03.03-07 e CT-03.04-05)</t>
        </is>
      </c>
    </row>
    <row r="3">
      <c r="A3" s="3" t="inlineStr">
        <is>
          <t>Data da execução</t>
        </is>
      </c>
      <c r="B3" s="16" t="inlineStr">
        <is>
          <t>20/10/2026 20:33</t>
        </is>
      </c>
      <c r="C3" s="2" t="inlineStr">
        <is>
          <t>carga-rnf01.log</t>
        </is>
      </c>
    </row>
    <row r="4">
      <c r="A4" s="3" t="inlineStr">
        <is>
          <t>Submissões simultâneas</t>
        </is>
      </c>
      <c r="B4" s="16" t="n">
        <v>30</v>
      </c>
      <c r="C4" s="2" t="inlineStr">
        <is>
          <t>backend/scripts/carga_rnf01.py</t>
        </is>
      </c>
    </row>
    <row r="5">
      <c r="A5" s="3" t="inlineStr">
        <is>
          <t>Tempo médio (s)</t>
        </is>
      </c>
      <c r="B5" s="17" t="n">
        <v>0.5610000000000001</v>
      </c>
      <c r="C5" s="2" t="inlineStr">
        <is>
          <t>medido do envio até o retorno do protocolo</t>
        </is>
      </c>
    </row>
    <row r="6">
      <c r="A6" s="3" t="inlineStr">
        <is>
          <t>p95 (s)</t>
        </is>
      </c>
      <c r="B6" s="17" t="n">
        <v>0.733</v>
      </c>
      <c r="C6" s="2" t="inlineStr">
        <is>
          <t>percentil 95 dos 30 tempos</t>
        </is>
      </c>
    </row>
    <row r="7">
      <c r="A7" s="3" t="inlineStr">
        <is>
          <t>Tempo máximo (s)</t>
        </is>
      </c>
      <c r="B7" s="17" t="n">
        <v>0.734</v>
      </c>
      <c r="C7" s="2" t="inlineStr"/>
    </row>
    <row r="8">
      <c r="A8" s="3" t="inlineStr">
        <is>
          <t>Meta do RNF01: p95 até (s)</t>
        </is>
      </c>
      <c r="B8" s="16" t="n">
        <v>3</v>
      </c>
      <c r="C8" s="2" t="inlineStr">
        <is>
          <t>planilha de requisitos, RNF01</t>
        </is>
      </c>
    </row>
    <row r="9">
      <c r="A9" s="3" t="inlineStr">
        <is>
          <t>Protocolos distintos</t>
        </is>
      </c>
      <c r="B9" s="16" t="n">
        <v>30</v>
      </c>
      <c r="C9" s="2" t="inlineStr">
        <is>
          <t>RNF06: nenhum protocolo repetido</t>
        </is>
      </c>
    </row>
    <row r="11">
      <c r="A11" s="3" t="inlineStr">
        <is>
          <t>Resultado RNF01 (p95 abaixo da meta)</t>
        </is>
      </c>
      <c r="B11" s="3">
        <f>IF(B6&lt;B8,"Aprovado","Reprovado")</f>
        <v/>
      </c>
    </row>
    <row r="12">
      <c r="A12" s="3" t="inlineStr">
        <is>
          <t>Resultado RNF06 (30 protocolos distintos)</t>
        </is>
      </c>
      <c r="B12" s="3">
        <f>IF(B9=B4,"Aprovado","Reprovado")</f>
        <v/>
      </c>
    </row>
    <row r="14">
      <c r="A14" s="2" t="inlineStr">
        <is>
          <t>Valores em azul: copiados da saída do teste (evidencias/carga-rnf01.log).</t>
        </is>
      </c>
    </row>
  </sheetData>
  <conditionalFormatting sqref="B11:B12">
    <cfRule type="expression" priority="1" dxfId="0">
      <formula>$B11="Aprovado"</formula>
    </cfRule>
    <cfRule type="expression" priority="2" dxfId="1">
      <formula>$B11="Pendente"</formula>
    </cfRule>
    <cfRule type="expression" priority="3" dxfId="2">
      <formula>$B11="Reprovado"</formula>
    </cfRule>
    <cfRule type="expression" priority="4" dxfId="3">
      <formula>$B11="Não executado"</formula>
    </cfRule>
    <cfRule type="expression" priority="5" dxfId="1">
      <formula>$B11="Pulado"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13" t="inlineStr">
        <is>
          <t>Arquivo (no repositório)</t>
        </is>
      </c>
      <c r="B1" s="13" t="inlineStr">
        <is>
          <t>Conteúdo</t>
        </is>
      </c>
    </row>
    <row r="2">
      <c r="A2" s="14" t="inlineStr">
        <is>
          <t>docs/testes/evidencias/carga-rnf01.log</t>
        </is>
      </c>
      <c r="B2" s="14" t="inlineStr">
        <is>
          <t>Saída do teste de carga com 30 submissões simultâneas</t>
        </is>
      </c>
    </row>
    <row r="3">
      <c r="A3" s="14" t="inlineStr">
        <is>
          <t>docs/testes/evidencias/e2e-cadastro_tcc.log</t>
        </is>
      </c>
      <c r="B3" s="14" t="inlineStr">
        <is>
          <t>Saída do roteiro: Cadastro de TCC de ponta a ponta (aluno → orientador → aluno)</t>
        </is>
      </c>
    </row>
    <row r="4">
      <c r="A4" s="14" t="inlineStr">
        <is>
          <t>docs/testes/evidencias/e2e-complementares.log</t>
        </is>
      </c>
      <c r="B4" s="14" t="inlineStr">
        <is>
          <t>Saída do roteiro: Casos de tela e responsividade (360 e 768 px)</t>
        </is>
      </c>
    </row>
    <row r="5">
      <c r="A5" s="14" t="inlineStr">
        <is>
          <t>docs/testes/evidencias/e2e-minhas_turmas.log</t>
        </is>
      </c>
      <c r="B5" s="14" t="inlineStr">
        <is>
          <t>Saída do roteiro: Minhas turmas (professor, aluno e coordenação)</t>
        </is>
      </c>
    </row>
    <row r="6">
      <c r="A6" s="14" t="inlineStr">
        <is>
          <t>docs/testes/evidencias/e2e-salvar_rascunho.log</t>
        </is>
      </c>
      <c r="B6" s="14" t="inlineStr">
        <is>
          <t>Saída do roteiro: Cadastro de aluna, ativação e Salvar rascunho</t>
        </is>
      </c>
    </row>
    <row r="7">
      <c r="A7" s="14" t="inlineStr">
        <is>
          <t>docs/testes/evidencias/junit-postgresql.xml</t>
        </is>
      </c>
      <c r="B7" s="14" t="inlineStr">
        <is>
          <t>Saída do pytest (formato JUnit) da suíte da API no PostgreSQL 16</t>
        </is>
      </c>
    </row>
    <row r="8">
      <c r="A8" s="14" t="inlineStr">
        <is>
          <t>docs/testes/evidencias/junit-sqlite.xml</t>
        </is>
      </c>
      <c r="B8" s="14" t="inlineStr">
        <is>
          <t>Saída do pytest (formato JUnit) da suíte da API no SQLite</t>
        </is>
      </c>
    </row>
    <row r="9">
      <c r="A9" s="14" t="inlineStr">
        <is>
          <t>docs/testes/evidencias/telas/cadastro-1-trabalho.png</t>
        </is>
      </c>
      <c r="B9" s="14" t="inlineStr">
        <is>
          <t>Captura de tela do teste no navegador</t>
        </is>
      </c>
    </row>
    <row r="10">
      <c r="A10" s="14" t="inlineStr">
        <is>
          <t>docs/testes/evidencias/telas/cadastro-3-revisar-pendente.png</t>
        </is>
      </c>
      <c r="B10" s="14" t="inlineStr">
        <is>
          <t>Captura de tela do teste no navegador</t>
        </is>
      </c>
    </row>
    <row r="11">
      <c r="A11" s="14" t="inlineStr">
        <is>
          <t>docs/testes/evidencias/telas/cadastro-4-orientacoes.png</t>
        </is>
      </c>
      <c r="B11" s="14" t="inlineStr">
        <is>
          <t>Captura de tela do teste no navegador</t>
        </is>
      </c>
    </row>
    <row r="12">
      <c r="A12" s="14" t="inlineStr">
        <is>
          <t>docs/testes/evidencias/telas/cadastro-5-protocolo.png</t>
        </is>
      </c>
      <c r="B12" s="14" t="inlineStr">
        <is>
          <t>Captura de tela do teste no navegador</t>
        </is>
      </c>
    </row>
    <row r="13">
      <c r="A13" s="14" t="inlineStr">
        <is>
          <t>docs/testes/evidencias/telas/cadastro-6-acompanhamento.png</t>
        </is>
      </c>
      <c r="B13" s="14" t="inlineStr">
        <is>
          <t>Captura de tela do teste no navegador</t>
        </is>
      </c>
    </row>
    <row r="14">
      <c r="A14" s="14" t="inlineStr">
        <is>
          <t>docs/testes/evidencias/telas/cadastro-7-turmas-360.png</t>
        </is>
      </c>
      <c r="B14" s="14" t="inlineStr">
        <is>
          <t>Captura de tela do teste no navegador</t>
        </is>
      </c>
    </row>
    <row r="15">
      <c r="A15" s="14" t="inlineStr">
        <is>
          <t>docs/testes/evidencias/telas/complementar-cadastro-768.png</t>
        </is>
      </c>
      <c r="B15" s="14" t="inlineStr">
        <is>
          <t>Captura de tela do teste no navegador</t>
        </is>
      </c>
    </row>
    <row r="16">
      <c r="A16" s="14" t="inlineStr">
        <is>
          <t>docs/testes/evidencias/telas/complementar-cadastro-artigo-360.png</t>
        </is>
      </c>
      <c r="B16" s="14" t="inlineStr">
        <is>
          <t>Captura de tela do teste no navegador</t>
        </is>
      </c>
    </row>
    <row r="17">
      <c r="A17" s="14" t="inlineStr">
        <is>
          <t>docs/testes/evidencias/telas/complementar-cadastro-monografia-360.png</t>
        </is>
      </c>
      <c r="B17" s="14" t="inlineStr">
        <is>
          <t>Captura de tela do teste no navegador</t>
        </is>
      </c>
    </row>
    <row r="18">
      <c r="A18" s="14" t="inlineStr">
        <is>
          <t>docs/testes/evidencias/telas/complementar-docente-360.png</t>
        </is>
      </c>
      <c r="B18" s="14" t="inlineStr">
        <is>
          <t>Captura de tela do teste no navegador</t>
        </is>
      </c>
    </row>
    <row r="19">
      <c r="A19" s="14" t="inlineStr">
        <is>
          <t>docs/testes/evidencias/telas/complementar-docente-768.png</t>
        </is>
      </c>
      <c r="B19" s="14" t="inlineStr">
        <is>
          <t>Captura de tela do teste no navegador</t>
        </is>
      </c>
    </row>
    <row r="20">
      <c r="A20" s="14" t="inlineStr">
        <is>
          <t>docs/testes/evidencias/telas/complementar-login-360.png</t>
        </is>
      </c>
      <c r="B20" s="14" t="inlineStr">
        <is>
          <t>Captura de tela do teste no navegador</t>
        </is>
      </c>
    </row>
    <row r="21">
      <c r="A21" s="14" t="inlineStr">
        <is>
          <t>docs/testes/evidencias/telas/complementar-login-768.png</t>
        </is>
      </c>
      <c r="B21" s="14" t="inlineStr">
        <is>
          <t>Captura de tela do teste no navegador</t>
        </is>
      </c>
    </row>
    <row r="22">
      <c r="A22" s="14" t="inlineStr">
        <is>
          <t>docs/testes/evidencias/telas/complementar-perfil-aluno-360.png</t>
        </is>
      </c>
      <c r="B22" s="14" t="inlineStr">
        <is>
          <t>Captura de tela do teste no navegador</t>
        </is>
      </c>
    </row>
    <row r="23">
      <c r="A23" s="14" t="inlineStr">
        <is>
          <t>docs/testes/evidencias/telas/complementar-perfil-aluno-768.png</t>
        </is>
      </c>
      <c r="B23" s="14" t="inlineStr">
        <is>
          <t>Captura de tela do teste no navegador</t>
        </is>
      </c>
    </row>
    <row r="24">
      <c r="A24" s="14" t="inlineStr">
        <is>
          <t>docs/testes/evidencias/telas/complementar-perfil-banca.png</t>
        </is>
      </c>
      <c r="B24" s="14" t="inlineStr">
        <is>
          <t>Captura de tela do teste no navegador</t>
        </is>
      </c>
    </row>
    <row r="25">
      <c r="A25" s="14" t="inlineStr">
        <is>
          <t>docs/testes/evidencias/telas/rascunho-1-salvo-sem-sair.png</t>
        </is>
      </c>
      <c r="B25" s="14" t="inlineStr">
        <is>
          <t>Captura de tela do teste no navegador</t>
        </is>
      </c>
    </row>
    <row r="26">
      <c r="A26" s="14" t="inlineStr">
        <is>
          <t>docs/testes/evidencias/telas/turmas-1-professor-cartoes.png</t>
        </is>
      </c>
      <c r="B26" s="14" t="inlineStr">
        <is>
          <t>Captura de tela do teste no navegador</t>
        </is>
      </c>
    </row>
    <row r="27">
      <c r="A27" s="14" t="inlineStr">
        <is>
          <t>docs/testes/evidencias/telas/turmas-2-professor-turma.png</t>
        </is>
      </c>
      <c r="B27" s="14" t="inlineStr">
        <is>
          <t>Captura de tela do teste no navegador</t>
        </is>
      </c>
    </row>
    <row r="28">
      <c r="A28" s="14" t="inlineStr">
        <is>
          <t>docs/testes/evidencias/telas/turmas-3-aluno.png</t>
        </is>
      </c>
      <c r="B28" s="14" t="inlineStr">
        <is>
          <t>Captura de tela do teste no navegador</t>
        </is>
      </c>
    </row>
    <row r="29">
      <c r="A29" s="14" t="inlineStr">
        <is>
          <t>docs/testes/evidencias/telas/turmas-4-celular-turma.png</t>
        </is>
      </c>
      <c r="B29" s="14" t="inlineStr">
        <is>
          <t>Captura de tela do teste no navegador</t>
        </is>
      </c>
    </row>
  </sheetData>
  <autoFilter ref="A1:B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2026-10-21T01:08:10Z</dcterms:created>
  <dcterms:modified xsi:type="dcterms:W3CDTF">2026-10-21T01:08:11Z</dcterms:modified>
</cp:coreProperties>
</file>